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Macro" sheetId="3" state="visible" r:id="rId3"/>
    <sheet xmlns:r="http://schemas.openxmlformats.org/officeDocument/2006/relationships" name="Projects" sheetId="4" state="visible" r:id="rId4"/>
    <sheet xmlns:r="http://schemas.openxmlformats.org/officeDocument/2006/relationships" name="OpCo_Plan" sheetId="5" state="visible" r:id="rId5"/>
    <sheet xmlns:r="http://schemas.openxmlformats.org/officeDocument/2006/relationships" name="Consolidation" sheetId="6" state="visible" r:id="rId6"/>
    <sheet xmlns:r="http://schemas.openxmlformats.org/officeDocument/2006/relationships" name="Capex_Report" sheetId="7" state="visible" r:id="rId7"/>
    <sheet xmlns:r="http://schemas.openxmlformats.org/officeDocument/2006/relationships" name="Board_Summary" sheetId="8" state="visible" r:id="rId8"/>
    <sheet xmlns:r="http://schemas.openxmlformats.org/officeDocument/2006/relationships" name="Checks" sheetId="9" state="visible" r:id="rId9"/>
  </sheets>
  <definedNames>
    <definedName name="Scenario">Inputs!$B$3</definedName>
    <definedName name="CorpCost2025">Inputs!$B$6</definedName>
    <definedName name="CorpInfl">Inputs!$B$7</definedName>
    <definedName name="TaxRate">Inputs!$B$8</definedName>
    <definedName name="NWCPct">Inputs!$B$9</definedName>
    <definedName name="PPE2025">Inputs!$B$10</definedName>
    <definedName name="DA2025">Inputs!$B$11</definedName>
    <definedName name="AssetLife">Inputs!$B$12</definedName>
    <definedName name="WACC">Inputs!$B$13</definedName>
    <definedName name="VarPct">Inputs!$B$14</definedName>
    <definedName name="VarAmt">Inputs!$B$15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;(#,##0.0);&quot;–&quot;"/>
    <numFmt numFmtId="165" formatCode="0.0%;(0.0%);&quot;–&quot;"/>
    <numFmt numFmtId="166" formatCode="0.00&quot;x&quot;"/>
    <numFmt numFmtId="167" formatCode="0.000000"/>
  </numFmts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C00000"/>
    </font>
    <font>
      <b val="1"/>
    </font>
    <font>
      <color rgb="000000CC"/>
    </font>
    <font>
      <b val="1"/>
      <color rgb="00FFFFFF"/>
    </font>
    <font>
      <color rgb="00808080"/>
      <sz val="8"/>
    </font>
    <font/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2" fontId="4" fillId="0" borderId="0" pivotButton="0" quotePrefix="0" xfId="0"/>
    <xf numFmtId="4" fontId="4" fillId="0" borderId="0" pivotButton="0" quotePrefix="0" xfId="0"/>
    <xf numFmtId="165" fontId="3" fillId="0" borderId="0" pivotButton="0" quotePrefix="0" xfId="0"/>
    <xf numFmtId="165" fontId="0" fillId="0" borderId="0" pivotButton="0" quotePrefix="0" xfId="0"/>
    <xf numFmtId="3" fontId="4" fillId="0" borderId="0" pivotButton="0" quotePrefix="0" xfId="0"/>
    <xf numFmtId="0" fontId="6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3" fillId="0" borderId="1" pivotButton="0" quotePrefix="0" xfId="0"/>
    <xf numFmtId="0" fontId="3" fillId="3" borderId="0" pivotButton="0" quotePrefix="0" xfId="0"/>
    <xf numFmtId="0" fontId="0" fillId="3" borderId="0" pivotButton="0" quotePrefix="0" xfId="0"/>
    <xf numFmtId="4" fontId="0" fillId="0" borderId="0" pivotButton="0" quotePrefix="0" xfId="0"/>
    <xf numFmtId="164" fontId="3" fillId="0" borderId="0" pivotButton="0" quotePrefix="0" xfId="0"/>
    <xf numFmtId="0" fontId="7" fillId="0" borderId="0" pivotButton="0" quotePrefix="0" xfId="0"/>
    <xf numFmtId="164" fontId="0" fillId="0" borderId="1" pivotButton="0" quotePrefix="0" xfId="0"/>
    <xf numFmtId="0" fontId="8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3">
    <dxf>
      <font>
        <b val="1"/>
        <color rgb="00C00000"/>
      </font>
    </dxf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Granite Peak Materials Group: Five-Year Strategic Plan, Consolidation &amp; CAPEX Model</t>
        </is>
      </c>
    </row>
    <row r="2">
      <c r="A2" s="2" t="inlineStr">
        <is>
          <t>Illustrative company and figures (fictional). Macro data is real, from FRED (Federal Reserve Bank of St. Louis).</t>
        </is>
      </c>
    </row>
    <row r="4">
      <c r="A4" s="3" t="inlineStr">
        <is>
          <t>Purpose</t>
        </is>
      </c>
      <c r="B4" s="4" t="inlineStr">
        <is>
          <t>Consolidates four operating companies into the FY2027 annual budget and FY2027-FY2031 strategic plan, tracks FY2026 CAPEX against budget, evaluates growth projects and builds free cash flow.</t>
        </is>
      </c>
    </row>
    <row r="5">
      <c r="A5" s="3" t="inlineStr">
        <is>
          <t>Scenario</t>
        </is>
      </c>
      <c r="B5" s="4" t="inlineStr">
        <is>
          <t>Change Inputs!B3 (1 = Base, 2 = Downside, 3 = Upside). Every sheet recalculates.</t>
        </is>
      </c>
    </row>
    <row r="6">
      <c r="A6" s="3" t="inlineStr">
        <is>
          <t>Update the forecast</t>
        </is>
      </c>
      <c r="B6" s="4" t="inlineStr">
        <is>
          <t>Enter new FY2026 year-to-date CAPEX on Inputs and Projects, refresh macro data on Macro (FY2026 driver growth links to the year-to-date change).</t>
        </is>
      </c>
    </row>
    <row r="7">
      <c r="A7" s="3" t="inlineStr">
        <is>
          <t>Conventions</t>
        </is>
      </c>
      <c r="B7" s="4" t="inlineStr">
        <is>
          <t>Blue = input. Black = formula. $ millions unless stated. Capex variance: + = under budget.</t>
        </is>
      </c>
    </row>
    <row r="8">
      <c r="A8" s="3" t="inlineStr"/>
      <c r="B8" s="4" t="inlineStr"/>
    </row>
    <row r="9">
      <c r="A9" s="3" t="inlineStr">
        <is>
          <t>Sheets</t>
        </is>
      </c>
      <c r="B9" s="4" t="inlineStr"/>
    </row>
    <row r="10">
      <c r="A10" s="3" t="inlineStr">
        <is>
          <t>Inputs</t>
        </is>
      </c>
      <c r="B10" s="4" t="inlineStr">
        <is>
          <t>Scenario selector, group assumptions, operating company drivers, price growth, scenario adjustments</t>
        </is>
      </c>
    </row>
    <row r="11">
      <c r="A11" s="3" t="inlineStr">
        <is>
          <t>Macro</t>
        </is>
      </c>
      <c r="B11" s="4" t="inlineStr">
        <is>
          <t>FRED housing starts, construction spending, highway spending, mortgage rate, materials PPI; plan driver growth</t>
        </is>
      </c>
    </row>
    <row r="12">
      <c r="A12" s="3" t="inlineStr">
        <is>
          <t>Projects</t>
        </is>
      </c>
      <c r="B12" s="4" t="inlineStr">
        <is>
          <t>Growth CAPEX register: approved vs. forecast, FY2026 budget vs. forecast, status, NPV / IRR / payback</t>
        </is>
      </c>
    </row>
    <row r="13">
      <c r="A13" s="3" t="inlineStr">
        <is>
          <t>OpCo_Plan</t>
        </is>
      </c>
      <c r="B13" s="4" t="inlineStr">
        <is>
          <t>Volume x price build by operating company, EBITDA, maintenance and growth CAPEX</t>
        </is>
      </c>
    </row>
    <row r="14">
      <c r="A14" s="3" t="inlineStr">
        <is>
          <t>Consolidation</t>
        </is>
      </c>
      <c r="B14" s="4" t="inlineStr">
        <is>
          <t>Group P&amp;L with intercompany eliminations, D&amp;A and PP&amp;E roll-forward, taxes, working capital, free cash flow</t>
        </is>
      </c>
    </row>
    <row r="15">
      <c r="A15" s="3" t="inlineStr">
        <is>
          <t>Capex_Report</t>
        </is>
      </c>
      <c r="B15" s="4" t="inlineStr">
        <is>
          <t>FY2026 CAPEX budget vs. YTD vs. forecast by operating company with flags; five-year CAPEX plan</t>
        </is>
      </c>
    </row>
    <row r="16">
      <c r="A16" s="3" t="inlineStr">
        <is>
          <t>Board_Summary</t>
        </is>
      </c>
      <c r="B16" s="4" t="inlineStr">
        <is>
          <t>Headline KPIs for the active scenario and the FY2026-FY2031 EBITDA bridge</t>
        </is>
      </c>
    </row>
    <row r="17">
      <c r="A17" s="3" t="inlineStr">
        <is>
          <t>Checks</t>
        </is>
      </c>
      <c r="B17" s="4" t="inlineStr">
        <is>
          <t>Integrity checks rolled up to one ALL CHECKS PASS cell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Inputs</t>
        </is>
      </c>
    </row>
    <row r="3">
      <c r="A3" t="inlineStr">
        <is>
          <t>Active scenario (1 Base, 2 Downside, 3 Upside)</t>
        </is>
      </c>
      <c r="B3" s="5" t="n">
        <v>1</v>
      </c>
      <c r="C3" s="3">
        <f>CHOOSE(Scenario,"Base","Downside","Upside")</f>
        <v/>
      </c>
    </row>
    <row r="5">
      <c r="A5" s="3" t="inlineStr">
        <is>
          <t>Group assumptions</t>
        </is>
      </c>
    </row>
    <row r="6">
      <c r="A6" t="inlineStr">
        <is>
          <t>Corporate costs FY2025A ($M)</t>
        </is>
      </c>
      <c r="B6" s="6" t="n">
        <v>120</v>
      </c>
    </row>
    <row r="7">
      <c r="A7" t="inlineStr">
        <is>
          <t>Corporate cost inflation</t>
        </is>
      </c>
      <c r="B7" s="7" t="n">
        <v>0.035</v>
      </c>
    </row>
    <row r="8">
      <c r="A8" t="inlineStr">
        <is>
          <t>Cash tax rate</t>
        </is>
      </c>
      <c r="B8" s="7" t="n">
        <v>0.24</v>
      </c>
    </row>
    <row r="9">
      <c r="A9" t="inlineStr">
        <is>
          <t>Net working capital, % of revenue</t>
        </is>
      </c>
      <c r="B9" s="7" t="n">
        <v>0.14</v>
      </c>
    </row>
    <row r="10">
      <c r="A10" t="inlineStr">
        <is>
          <t>Net PP&amp;E, end FY2025 ($M)</t>
        </is>
      </c>
      <c r="B10" s="6" t="n">
        <v>7800</v>
      </c>
    </row>
    <row r="11">
      <c r="A11" t="inlineStr">
        <is>
          <t>D&amp;A FY2025A ($M)</t>
        </is>
      </c>
      <c r="B11" s="6" t="n">
        <v>420</v>
      </c>
    </row>
    <row r="12">
      <c r="A12" t="inlineStr">
        <is>
          <t>Average asset life (years); D&amp;A = opening PP&amp;E / life</t>
        </is>
      </c>
      <c r="B12" s="8" t="n">
        <v>18</v>
      </c>
    </row>
    <row r="13">
      <c r="A13" t="inlineStr">
        <is>
          <t>WACC / hurdle rate for growth projects</t>
        </is>
      </c>
      <c r="B13" s="7" t="n">
        <v>0.08500000000000001</v>
      </c>
    </row>
    <row r="14">
      <c r="A14" t="inlineStr">
        <is>
          <t>CAPEX variance flag: % threshold</t>
        </is>
      </c>
      <c r="B14" s="7" t="n">
        <v>0.1</v>
      </c>
    </row>
    <row r="15">
      <c r="A15" t="inlineStr">
        <is>
          <t>CAPEX variance flag: $M threshold</t>
        </is>
      </c>
      <c r="B15" s="6" t="n">
        <v>5</v>
      </c>
    </row>
    <row r="18">
      <c r="A18" s="3" t="inlineStr">
        <is>
          <t>Operating company drivers (FY2025A base)</t>
        </is>
      </c>
    </row>
    <row r="19" ht="45" customHeight="1">
      <c r="A19" s="9" t="inlineStr">
        <is>
          <t>Operating company</t>
        </is>
      </c>
      <c r="B19" s="9" t="inlineStr">
        <is>
          <t>Unit</t>
        </is>
      </c>
      <c r="C19" s="9" t="inlineStr">
        <is>
          <t>Volume driver</t>
        </is>
      </c>
      <c r="D19" s="9" t="inlineStr">
        <is>
          <t>Elasticity to driver</t>
        </is>
      </c>
      <c r="E19" s="9" t="inlineStr">
        <is>
          <t>Base volume growth</t>
        </is>
      </c>
      <c r="F19" s="9" t="inlineStr">
        <is>
          <t>Volume FY2025A (M)</t>
        </is>
      </c>
      <c r="G19" s="9" t="inlineStr">
        <is>
          <t>Price / unit FY2025A ($)</t>
        </is>
      </c>
      <c r="H19" s="9" t="inlineStr">
        <is>
          <t>Variable cost / unit FY2025A ($)</t>
        </is>
      </c>
      <c r="I19" s="9" t="inlineStr">
        <is>
          <t>Fixed costs FY2025A ($M)</t>
        </is>
      </c>
      <c r="J19" s="9" t="inlineStr">
        <is>
          <t>Variable cost inflation</t>
        </is>
      </c>
      <c r="K19" s="9" t="inlineStr">
        <is>
          <t>Fixed cost inflation</t>
        </is>
      </c>
      <c r="L19" s="9" t="inlineStr">
        <is>
          <t>Maintenance capex % revenue</t>
        </is>
      </c>
      <c r="M19" s="9" t="inlineStr">
        <is>
          <t>Capex FY2025A ($M)</t>
        </is>
      </c>
      <c r="N19" s="9" t="inlineStr">
        <is>
          <t>Intercompany sales % revenue</t>
        </is>
      </c>
      <c r="O19" s="9" t="inlineStr">
        <is>
          <t>FY2026 maint. capex budget ($M)</t>
        </is>
      </c>
      <c r="P19" s="9" t="inlineStr">
        <is>
          <t>FY2026 maint. capex YTD Sep ($M)</t>
        </is>
      </c>
    </row>
    <row r="20">
      <c r="A20" s="3" t="inlineStr">
        <is>
          <t>Aggregates</t>
        </is>
      </c>
      <c r="B20" s="5" t="inlineStr">
        <is>
          <t>tons</t>
        </is>
      </c>
      <c r="C20" s="5" t="inlineStr">
        <is>
          <t>TLHWYCONS</t>
        </is>
      </c>
      <c r="D20" s="10" t="n">
        <v>0.6</v>
      </c>
      <c r="E20" s="7" t="n">
        <v>0.005</v>
      </c>
      <c r="F20" s="11" t="n">
        <v>95</v>
      </c>
      <c r="G20" s="11" t="n">
        <v>16.5</v>
      </c>
      <c r="H20" s="11" t="n">
        <v>8.199999999999999</v>
      </c>
      <c r="I20" s="6" t="n">
        <v>260</v>
      </c>
      <c r="J20" s="7" t="n">
        <v>0.042</v>
      </c>
      <c r="K20" s="7" t="n">
        <v>0.035</v>
      </c>
      <c r="L20" s="7" t="n">
        <v>0.06</v>
      </c>
      <c r="M20" s="6" t="n">
        <v>118</v>
      </c>
      <c r="N20" s="7" t="n">
        <v>0.1</v>
      </c>
      <c r="O20" s="6" t="n">
        <v>104</v>
      </c>
      <c r="P20" s="6" t="n">
        <v>71.5</v>
      </c>
    </row>
    <row r="21">
      <c r="A21" s="3" t="inlineStr">
        <is>
          <t>Cement</t>
        </is>
      </c>
      <c r="B21" s="5" t="inlineStr">
        <is>
          <t>tons</t>
        </is>
      </c>
      <c r="C21" s="5" t="inlineStr">
        <is>
          <t>TTLCONS</t>
        </is>
      </c>
      <c r="D21" s="10" t="n">
        <v>0.8</v>
      </c>
      <c r="E21" s="7" t="n">
        <v>0</v>
      </c>
      <c r="F21" s="11" t="n">
        <v>9.5</v>
      </c>
      <c r="G21" s="11" t="n">
        <v>155</v>
      </c>
      <c r="H21" s="11" t="n">
        <v>88</v>
      </c>
      <c r="I21" s="6" t="n">
        <v>180</v>
      </c>
      <c r="J21" s="7" t="n">
        <v>0.036</v>
      </c>
      <c r="K21" s="7" t="n">
        <v>0.035</v>
      </c>
      <c r="L21" s="7" t="n">
        <v>0.07000000000000001</v>
      </c>
      <c r="M21" s="6" t="n">
        <v>121</v>
      </c>
      <c r="N21" s="7" t="n">
        <v>0.18</v>
      </c>
      <c r="O21" s="6" t="n">
        <v>112</v>
      </c>
      <c r="P21" s="6" t="n">
        <v>76</v>
      </c>
    </row>
    <row r="22">
      <c r="A22" s="3" t="inlineStr">
        <is>
          <t>Ready-Mix Concrete</t>
        </is>
      </c>
      <c r="B22" s="5" t="inlineStr">
        <is>
          <t>cubic yards</t>
        </is>
      </c>
      <c r="C22" s="5" t="inlineStr">
        <is>
          <t>HOUST</t>
        </is>
      </c>
      <c r="D22" s="10" t="n">
        <v>0.7</v>
      </c>
      <c r="E22" s="7" t="n">
        <v>0</v>
      </c>
      <c r="F22" s="11" t="n">
        <v>14</v>
      </c>
      <c r="G22" s="11" t="n">
        <v>165</v>
      </c>
      <c r="H22" s="11" t="n">
        <v>128</v>
      </c>
      <c r="I22" s="6" t="n">
        <v>290</v>
      </c>
      <c r="J22" s="7" t="n">
        <v>0.036</v>
      </c>
      <c r="K22" s="7" t="n">
        <v>0.035</v>
      </c>
      <c r="L22" s="7" t="n">
        <v>0.03</v>
      </c>
      <c r="M22" s="6" t="n">
        <v>64</v>
      </c>
      <c r="N22" s="7" t="n">
        <v>0</v>
      </c>
      <c r="O22" s="6" t="n">
        <v>72</v>
      </c>
      <c r="P22" s="6" t="n">
        <v>55.2</v>
      </c>
    </row>
    <row r="23">
      <c r="A23" s="3" t="inlineStr">
        <is>
          <t>Asphalt &amp; Paving</t>
        </is>
      </c>
      <c r="B23" s="5" t="inlineStr">
        <is>
          <t>tons</t>
        </is>
      </c>
      <c r="C23" s="5" t="inlineStr">
        <is>
          <t>TLHWYCONS</t>
        </is>
      </c>
      <c r="D23" s="10" t="n">
        <v>0.9</v>
      </c>
      <c r="E23" s="7" t="n">
        <v>0</v>
      </c>
      <c r="F23" s="11" t="n">
        <v>11</v>
      </c>
      <c r="G23" s="11" t="n">
        <v>82</v>
      </c>
      <c r="H23" s="11" t="n">
        <v>63</v>
      </c>
      <c r="I23" s="6" t="n">
        <v>95</v>
      </c>
      <c r="J23" s="7" t="n">
        <v>0.036</v>
      </c>
      <c r="K23" s="7" t="n">
        <v>0.035</v>
      </c>
      <c r="L23" s="7" t="n">
        <v>0.04</v>
      </c>
      <c r="M23" s="6" t="n">
        <v>33</v>
      </c>
      <c r="N23" s="7" t="n">
        <v>0</v>
      </c>
      <c r="O23" s="6" t="n">
        <v>40</v>
      </c>
      <c r="P23" s="6" t="n">
        <v>27.1</v>
      </c>
    </row>
    <row r="26">
      <c r="A26" s="3" t="inlineStr">
        <is>
          <t>Price growth by year</t>
        </is>
      </c>
    </row>
    <row r="27">
      <c r="A27" s="9" t="inlineStr">
        <is>
          <t>Operating company</t>
        </is>
      </c>
      <c r="B27" s="9" t="inlineStr"/>
      <c r="C27" s="9" t="inlineStr"/>
      <c r="D27" s="9" t="inlineStr">
        <is>
          <t>FY2026</t>
        </is>
      </c>
      <c r="E27" s="9" t="inlineStr">
        <is>
          <t>FY2027</t>
        </is>
      </c>
      <c r="F27" s="9" t="inlineStr">
        <is>
          <t>FY2028</t>
        </is>
      </c>
      <c r="G27" s="9" t="inlineStr">
        <is>
          <t>FY2029</t>
        </is>
      </c>
      <c r="H27" s="9" t="inlineStr">
        <is>
          <t>FY2030</t>
        </is>
      </c>
      <c r="I27" s="9" t="inlineStr">
        <is>
          <t>FY2031</t>
        </is>
      </c>
    </row>
    <row r="28">
      <c r="A28" t="inlineStr">
        <is>
          <t>Aggregates</t>
        </is>
      </c>
      <c r="D28" s="7" t="n">
        <v>0.06</v>
      </c>
      <c r="E28" s="7" t="n">
        <v>0.055</v>
      </c>
      <c r="F28" s="7" t="n">
        <v>0.05</v>
      </c>
      <c r="G28" s="7" t="n">
        <v>0.045</v>
      </c>
      <c r="H28" s="7" t="n">
        <v>0.04</v>
      </c>
      <c r="I28" s="7" t="n">
        <v>0.04</v>
      </c>
    </row>
    <row r="29">
      <c r="A29" t="inlineStr">
        <is>
          <t>Cement</t>
        </is>
      </c>
      <c r="D29" s="7" t="n">
        <v>0.02</v>
      </c>
      <c r="E29" s="7" t="n">
        <v>0.03</v>
      </c>
      <c r="F29" s="7" t="n">
        <v>0.035</v>
      </c>
      <c r="G29" s="7" t="n">
        <v>0.035</v>
      </c>
      <c r="H29" s="7" t="n">
        <v>0.03</v>
      </c>
      <c r="I29" s="7" t="n">
        <v>0.03</v>
      </c>
    </row>
    <row r="30">
      <c r="A30" t="inlineStr">
        <is>
          <t>Ready-Mix Concrete</t>
        </is>
      </c>
      <c r="D30" s="7" t="n">
        <v>0.03</v>
      </c>
      <c r="E30" s="7" t="n">
        <v>0.035</v>
      </c>
      <c r="F30" s="7" t="n">
        <v>0.035</v>
      </c>
      <c r="G30" s="7" t="n">
        <v>0.035</v>
      </c>
      <c r="H30" s="7" t="n">
        <v>0.03</v>
      </c>
      <c r="I30" s="7" t="n">
        <v>0.03</v>
      </c>
    </row>
    <row r="31">
      <c r="A31" t="inlineStr">
        <is>
          <t>Asphalt &amp; Paving</t>
        </is>
      </c>
      <c r="D31" s="7" t="n">
        <v>0.03</v>
      </c>
      <c r="E31" s="7" t="n">
        <v>0.035</v>
      </c>
      <c r="F31" s="7" t="n">
        <v>0.035</v>
      </c>
      <c r="G31" s="7" t="n">
        <v>0.03</v>
      </c>
      <c r="H31" s="7" t="n">
        <v>0.03</v>
      </c>
      <c r="I31" s="7" t="n">
        <v>0.03</v>
      </c>
    </row>
    <row r="34">
      <c r="A34" s="3" t="inlineStr">
        <is>
          <t>Scenario adjustments (plan years FY2027-FY2031)</t>
        </is>
      </c>
    </row>
    <row r="35">
      <c r="A35" s="9" t="inlineStr">
        <is>
          <t>Volume growth adjustment</t>
        </is>
      </c>
      <c r="B35" s="9" t="inlineStr"/>
      <c r="C35" s="9" t="inlineStr"/>
      <c r="D35" s="9" t="inlineStr">
        <is>
          <t>FY2026</t>
        </is>
      </c>
      <c r="E35" s="9" t="inlineStr">
        <is>
          <t>FY2027</t>
        </is>
      </c>
      <c r="F35" s="9" t="inlineStr">
        <is>
          <t>FY2028</t>
        </is>
      </c>
      <c r="G35" s="9" t="inlineStr">
        <is>
          <t>FY2029</t>
        </is>
      </c>
      <c r="H35" s="9" t="inlineStr">
        <is>
          <t>FY2030</t>
        </is>
      </c>
      <c r="I35" s="9" t="inlineStr">
        <is>
          <t>FY2031</t>
        </is>
      </c>
    </row>
    <row r="36">
      <c r="A36" t="inlineStr">
        <is>
          <t>Base</t>
        </is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</row>
    <row r="37">
      <c r="A37" t="inlineStr">
        <is>
          <t>Downside</t>
        </is>
      </c>
      <c r="D37" s="7" t="n">
        <v>0</v>
      </c>
      <c r="E37" s="7" t="n">
        <v>-0.04</v>
      </c>
      <c r="F37" s="7" t="n">
        <v>-0.03</v>
      </c>
      <c r="G37" s="7" t="n">
        <v>-0.01</v>
      </c>
      <c r="H37" s="7" t="n">
        <v>0</v>
      </c>
      <c r="I37" s="7" t="n">
        <v>0</v>
      </c>
    </row>
    <row r="38">
      <c r="A38" t="inlineStr">
        <is>
          <t>Upside</t>
        </is>
      </c>
      <c r="D38" s="7" t="n">
        <v>0</v>
      </c>
      <c r="E38" s="7" t="n">
        <v>0.015</v>
      </c>
      <c r="F38" s="7" t="n">
        <v>0.02</v>
      </c>
      <c r="G38" s="7" t="n">
        <v>0.01</v>
      </c>
      <c r="H38" s="7" t="n">
        <v>0.01</v>
      </c>
      <c r="I38" s="7" t="n">
        <v>0.01</v>
      </c>
    </row>
    <row r="39">
      <c r="A39" s="3" t="inlineStr">
        <is>
          <t>Active</t>
        </is>
      </c>
      <c r="D39" s="12">
        <f>CHOOSE(Scenario,D36,D37,D38)</f>
        <v/>
      </c>
      <c r="E39" s="12">
        <f>CHOOSE(Scenario,E36,E37,E38)</f>
        <v/>
      </c>
      <c r="F39" s="12">
        <f>CHOOSE(Scenario,F36,F37,F38)</f>
        <v/>
      </c>
      <c r="G39" s="12">
        <f>CHOOSE(Scenario,G36,G37,G38)</f>
        <v/>
      </c>
      <c r="H39" s="12">
        <f>CHOOSE(Scenario,H36,H37,H38)</f>
        <v/>
      </c>
      <c r="I39" s="12">
        <f>CHOOSE(Scenario,I36,I37,I38)</f>
        <v/>
      </c>
    </row>
    <row r="41">
      <c r="A41" s="3" t="inlineStr">
        <is>
          <t>Price growth adjustment (added each plan year)</t>
        </is>
      </c>
    </row>
    <row r="42">
      <c r="A42" t="inlineStr">
        <is>
          <t>Base</t>
        </is>
      </c>
      <c r="B42" s="7" t="n">
        <v>0</v>
      </c>
    </row>
    <row r="43">
      <c r="A43" t="inlineStr">
        <is>
          <t>Downside</t>
        </is>
      </c>
      <c r="B43" s="7" t="n">
        <v>-0.01</v>
      </c>
    </row>
    <row r="44">
      <c r="A44" t="inlineStr">
        <is>
          <t>Upside</t>
        </is>
      </c>
      <c r="B44" s="7" t="n">
        <v>0.005</v>
      </c>
    </row>
    <row r="45">
      <c r="A45" s="3" t="inlineStr">
        <is>
          <t>Active, by year</t>
        </is>
      </c>
      <c r="D45" s="13" t="n">
        <v>0</v>
      </c>
      <c r="E45" s="12">
        <f>CHOOSE(Scenario,$B$42,$B$43,$B$44)</f>
        <v/>
      </c>
      <c r="F45" s="12">
        <f>CHOOSE(Scenario,$B$42,$B$43,$B$44)</f>
        <v/>
      </c>
      <c r="G45" s="12">
        <f>CHOOSE(Scenario,$B$42,$B$43,$B$44)</f>
        <v/>
      </c>
      <c r="H45" s="12">
        <f>CHOOSE(Scenario,$B$42,$B$43,$B$44)</f>
        <v/>
      </c>
      <c r="I45" s="12">
        <f>CHOOSE(Scenario,$B$42,$B$43,$B$44)</f>
        <v/>
      </c>
    </row>
  </sheetData>
  <dataValidations count="1">
    <dataValidation sqref="B3" showDropDown="0" showInputMessage="0" showErrorMessage="0" allowBlank="0" type="whole" operator="between">
      <formula1>1</formula1>
      <formula2>3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Macro backdrop: US construction demand (source: FRED, Federal Reserve Bank of St. Louis)</t>
        </is>
      </c>
    </row>
    <row r="2">
      <c r="A2" t="inlineStr">
        <is>
          <t>Annual averages of monthly (weekly for mortgage rate) data; FY2026 = year to date.</t>
        </is>
      </c>
    </row>
    <row r="4">
      <c r="A4" s="9" t="inlineStr">
        <is>
          <t>Series</t>
        </is>
      </c>
      <c r="B4" s="9" t="inlineStr">
        <is>
          <t>FRED ID</t>
        </is>
      </c>
      <c r="C4" s="9" t="inlineStr">
        <is>
          <t>2019</t>
        </is>
      </c>
      <c r="D4" s="9" t="inlineStr">
        <is>
          <t>2020</t>
        </is>
      </c>
      <c r="E4" s="9" t="inlineStr">
        <is>
          <t>2021</t>
        </is>
      </c>
      <c r="F4" s="9" t="inlineStr">
        <is>
          <t>2022</t>
        </is>
      </c>
      <c r="G4" s="9" t="inlineStr">
        <is>
          <t>2023</t>
        </is>
      </c>
      <c r="H4" s="9" t="inlineStr">
        <is>
          <t>2024</t>
        </is>
      </c>
      <c r="I4" s="9" t="inlineStr">
        <is>
          <t>2025</t>
        </is>
      </c>
      <c r="J4" s="9" t="inlineStr">
        <is>
          <t>2026</t>
        </is>
      </c>
      <c r="K4" s="9" t="inlineStr">
        <is>
          <t>2026 YTD vs. 2025 YTD</t>
        </is>
      </c>
      <c r="L4" s="9" t="inlineStr">
        <is>
          <t>Latest value</t>
        </is>
      </c>
      <c r="M4" s="9" t="inlineStr">
        <is>
          <t>Latest date</t>
        </is>
      </c>
    </row>
    <row r="5">
      <c r="A5" t="inlineStr">
        <is>
          <t>Housing starts (thousand units, SAAR)</t>
        </is>
      </c>
      <c r="B5" t="inlineStr">
        <is>
          <t>HOUST</t>
        </is>
      </c>
      <c r="C5" s="14" t="n">
        <v>1291.5</v>
      </c>
      <c r="D5" s="14" t="n">
        <v>1394.33</v>
      </c>
      <c r="E5" s="14" t="n">
        <v>1603.33</v>
      </c>
      <c r="F5" s="14" t="n">
        <v>1550.25</v>
      </c>
      <c r="G5" s="14" t="n">
        <v>1420.92</v>
      </c>
      <c r="H5" s="14" t="n">
        <v>1370</v>
      </c>
      <c r="I5" s="14" t="n">
        <v>1355.83</v>
      </c>
      <c r="J5" s="14" t="n">
        <v>1351.78</v>
      </c>
      <c r="K5" s="7" t="n">
        <v>-0.0109</v>
      </c>
      <c r="L5" s="11" t="n">
        <v>1221</v>
      </c>
      <c r="M5" s="5" t="inlineStr">
        <is>
          <t>2026-09-01</t>
        </is>
      </c>
    </row>
    <row r="6">
      <c r="A6" t="inlineStr">
        <is>
          <t>Total construction spending ($M, SAAR)</t>
        </is>
      </c>
      <c r="B6" t="inlineStr">
        <is>
          <t>TTLCONS</t>
        </is>
      </c>
      <c r="C6" s="14" t="n">
        <v>1390031.67</v>
      </c>
      <c r="D6" s="14" t="n">
        <v>1500455.67</v>
      </c>
      <c r="E6" s="14" t="n">
        <v>1653987.33</v>
      </c>
      <c r="F6" s="14" t="n">
        <v>1900433.75</v>
      </c>
      <c r="G6" s="14" t="n">
        <v>2073357.25</v>
      </c>
      <c r="H6" s="14" t="n">
        <v>2237804.33</v>
      </c>
      <c r="I6" s="14" t="n">
        <v>2244779.67</v>
      </c>
      <c r="J6" s="14" t="n">
        <v>2187037.25</v>
      </c>
      <c r="K6" s="7" t="n">
        <v>-0.0287</v>
      </c>
      <c r="L6" s="11" t="n">
        <v>2203129</v>
      </c>
      <c r="M6" s="5" t="inlineStr">
        <is>
          <t>2026-08-01</t>
        </is>
      </c>
    </row>
    <row r="7">
      <c r="A7" t="inlineStr">
        <is>
          <t>Highway &amp; street construction spending ($M, SAAR)</t>
        </is>
      </c>
      <c r="B7" t="inlineStr">
        <is>
          <t>TLHWYCONS</t>
        </is>
      </c>
      <c r="C7" s="14" t="n">
        <v>99261.17</v>
      </c>
      <c r="D7" s="14" t="n">
        <v>102884.92</v>
      </c>
      <c r="E7" s="14" t="n">
        <v>103449.33</v>
      </c>
      <c r="F7" s="14" t="n">
        <v>114886.25</v>
      </c>
      <c r="G7" s="14" t="n">
        <v>138874.25</v>
      </c>
      <c r="H7" s="14" t="n">
        <v>148669.17</v>
      </c>
      <c r="I7" s="14" t="n">
        <v>147419</v>
      </c>
      <c r="J7" s="14" t="n">
        <v>151150.25</v>
      </c>
      <c r="K7" s="7" t="n">
        <v>0.0208</v>
      </c>
      <c r="L7" s="11" t="n">
        <v>152213</v>
      </c>
      <c r="M7" s="5" t="inlineStr">
        <is>
          <t>2026-08-01</t>
        </is>
      </c>
    </row>
    <row r="8">
      <c r="A8" t="inlineStr">
        <is>
          <t>30-year fixed mortgage rate (%)</t>
        </is>
      </c>
      <c r="B8" t="inlineStr">
        <is>
          <t>MORTGAGE30US</t>
        </is>
      </c>
      <c r="C8" s="11" t="n">
        <v>3.94</v>
      </c>
      <c r="D8" s="11" t="n">
        <v>3.11</v>
      </c>
      <c r="E8" s="11" t="n">
        <v>2.96</v>
      </c>
      <c r="F8" s="11" t="n">
        <v>5.34</v>
      </c>
      <c r="G8" s="11" t="n">
        <v>6.81</v>
      </c>
      <c r="H8" s="11" t="n">
        <v>6.72</v>
      </c>
      <c r="I8" s="11" t="n">
        <v>6.6</v>
      </c>
      <c r="J8" s="11" t="n">
        <v>6.5</v>
      </c>
      <c r="K8" s="7" t="n">
        <v>-0.0263</v>
      </c>
      <c r="L8" s="11" t="n">
        <v>7.32</v>
      </c>
      <c r="M8" s="5" t="inlineStr">
        <is>
          <t>2026-10-22</t>
        </is>
      </c>
    </row>
    <row r="9">
      <c r="A9" t="inlineStr">
        <is>
          <t>PPI: construction materials (index 1982=100)</t>
        </is>
      </c>
      <c r="B9" t="inlineStr">
        <is>
          <t>WPUSI012011</t>
        </is>
      </c>
      <c r="C9" s="14" t="n">
        <v>235.73</v>
      </c>
      <c r="D9" s="14" t="n">
        <v>239.18</v>
      </c>
      <c r="E9" s="14" t="n">
        <v>303.41</v>
      </c>
      <c r="F9" s="14" t="n">
        <v>341.53</v>
      </c>
      <c r="G9" s="14" t="n">
        <v>331.78</v>
      </c>
      <c r="H9" s="14" t="n">
        <v>328.52</v>
      </c>
      <c r="I9" s="14" t="n">
        <v>337.91</v>
      </c>
      <c r="J9" s="14" t="n">
        <v>364.24</v>
      </c>
      <c r="K9" s="7" t="n">
        <v>0.0814</v>
      </c>
      <c r="L9" s="11" t="n">
        <v>378.61</v>
      </c>
      <c r="M9" s="5" t="inlineStr">
        <is>
          <t>2026-09-01</t>
        </is>
      </c>
    </row>
    <row r="12">
      <c r="A12" s="3" t="inlineStr">
        <is>
          <t>Volume driver growth used in the plan</t>
        </is>
      </c>
    </row>
    <row r="13">
      <c r="A13" t="inlineStr">
        <is>
          <t>FY2026 links to the actual year-to-date change above; FY2027-FY2031 are planning assumptions.</t>
        </is>
      </c>
    </row>
    <row r="14">
      <c r="C14" s="15" t="n">
        <v>2025</v>
      </c>
      <c r="D14" s="15" t="n">
        <v>2026</v>
      </c>
      <c r="E14" s="15" t="n">
        <v>2027</v>
      </c>
      <c r="F14" s="15" t="n">
        <v>2028</v>
      </c>
      <c r="G14" s="15" t="n">
        <v>2029</v>
      </c>
      <c r="H14" s="15" t="n">
        <v>2030</v>
      </c>
      <c r="I14" s="15" t="n">
        <v>2031</v>
      </c>
    </row>
    <row r="15">
      <c r="A15" s="9" t="inlineStr">
        <is>
          <t>Driver</t>
        </is>
      </c>
      <c r="B15" s="9" t="inlineStr"/>
      <c r="C15" s="9" t="inlineStr">
        <is>
          <t>FY2025A</t>
        </is>
      </c>
      <c r="D15" s="9" t="inlineStr">
        <is>
          <t>FY2026F (9+3)</t>
        </is>
      </c>
      <c r="E15" s="9" t="inlineStr">
        <is>
          <t>FY2027 Budget</t>
        </is>
      </c>
      <c r="F15" s="9" t="inlineStr">
        <is>
          <t>FY2028 Plan</t>
        </is>
      </c>
      <c r="G15" s="9" t="inlineStr">
        <is>
          <t>FY2029 Plan</t>
        </is>
      </c>
      <c r="H15" s="9" t="inlineStr">
        <is>
          <t>FY2030 Plan</t>
        </is>
      </c>
      <c r="I15" s="9" t="inlineStr">
        <is>
          <t>FY2031 Plan</t>
        </is>
      </c>
    </row>
    <row r="16">
      <c r="A16" t="inlineStr">
        <is>
          <t>Housing starts (thousand units, SAAR)</t>
        </is>
      </c>
      <c r="B16" t="inlineStr">
        <is>
          <t>HOUST</t>
        </is>
      </c>
      <c r="D16" s="13">
        <f>$K$5</f>
        <v/>
      </c>
      <c r="E16" s="7" t="n">
        <v>0.01</v>
      </c>
      <c r="F16" s="7" t="n">
        <v>0.03</v>
      </c>
      <c r="G16" s="7" t="n">
        <v>0.03</v>
      </c>
      <c r="H16" s="7" t="n">
        <v>0.02</v>
      </c>
      <c r="I16" s="7" t="n">
        <v>0.02</v>
      </c>
    </row>
    <row r="17">
      <c r="A17" t="inlineStr">
        <is>
          <t>Total construction spending ($M, SAAR)</t>
        </is>
      </c>
      <c r="B17" t="inlineStr">
        <is>
          <t>TTLCONS</t>
        </is>
      </c>
      <c r="D17" s="13">
        <f>$K$6</f>
        <v/>
      </c>
      <c r="E17" s="7" t="n">
        <v>0</v>
      </c>
      <c r="F17" s="7" t="n">
        <v>0.02</v>
      </c>
      <c r="G17" s="7" t="n">
        <v>0.03</v>
      </c>
      <c r="H17" s="7" t="n">
        <v>0.03</v>
      </c>
      <c r="I17" s="7" t="n">
        <v>0.03</v>
      </c>
    </row>
    <row r="18">
      <c r="A18" t="inlineStr">
        <is>
          <t>Highway &amp; street construction spending ($M, SAAR)</t>
        </is>
      </c>
      <c r="B18" t="inlineStr">
        <is>
          <t>TLHWYCONS</t>
        </is>
      </c>
      <c r="D18" s="13">
        <f>$K$7</f>
        <v/>
      </c>
      <c r="E18" s="7" t="n">
        <v>0.03</v>
      </c>
      <c r="F18" s="7" t="n">
        <v>0.03</v>
      </c>
      <c r="G18" s="7" t="n">
        <v>0.02</v>
      </c>
      <c r="H18" s="7" t="n">
        <v>0.02</v>
      </c>
      <c r="I18" s="7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4" customWidth="1" min="3" max="3"/>
    <col width="9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0" customWidth="1" min="18" max="18"/>
    <col width="11" customWidth="1" min="19" max="19"/>
    <col width="11" customWidth="1" min="20" max="20"/>
    <col width="8" customWidth="1" min="21" max="21"/>
    <col width="9" customWidth="1" min="22" max="22"/>
    <col width="42" customWidth="1" min="23" max="23"/>
  </cols>
  <sheetData>
    <row r="1">
      <c r="A1" s="1" t="inlineStr">
        <is>
          <t>Growth CAPEX project register</t>
        </is>
      </c>
    </row>
    <row r="2">
      <c r="A2" t="inlineStr">
        <is>
          <t>Spend schedule = latest forecast by year. Variance: + = under budget. Returns use after-tax EBITDA uplift from the in-service year, 20-year horizon.</t>
        </is>
      </c>
    </row>
    <row r="4" ht="45" customHeight="1">
      <c r="A4" s="9" t="inlineStr">
        <is>
          <t>ID</t>
        </is>
      </c>
      <c r="B4" s="9" t="inlineStr">
        <is>
          <t>Operating company</t>
        </is>
      </c>
      <c r="C4" s="9" t="inlineStr">
        <is>
          <t>Project</t>
        </is>
      </c>
      <c r="D4" s="9" t="inlineStr">
        <is>
          <t>Type</t>
        </is>
      </c>
      <c r="E4" s="9" t="inlineStr">
        <is>
          <t>Approved budget</t>
        </is>
      </c>
      <c r="F4" s="9" t="inlineStr">
        <is>
          <t>Spend FY2026</t>
        </is>
      </c>
      <c r="G4" s="9" t="inlineStr">
        <is>
          <t>Spend FY2027</t>
        </is>
      </c>
      <c r="H4" s="9" t="inlineStr">
        <is>
          <t>Spend FY2028</t>
        </is>
      </c>
      <c r="I4" s="9" t="inlineStr">
        <is>
          <t>Spend FY2029</t>
        </is>
      </c>
      <c r="J4" s="9" t="inlineStr">
        <is>
          <t>Spend FY2030</t>
        </is>
      </c>
      <c r="K4" s="9" t="inlineStr">
        <is>
          <t>Spend FY2031</t>
        </is>
      </c>
      <c r="L4" s="9" t="inlineStr">
        <is>
          <t>Forecast total</t>
        </is>
      </c>
      <c r="M4" s="9" t="inlineStr">
        <is>
          <t>Over/(under) approved</t>
        </is>
      </c>
      <c r="N4" s="9" t="inlineStr">
        <is>
          <t>FY2026 budget</t>
        </is>
      </c>
      <c r="O4" s="9" t="inlineStr">
        <is>
          <t>FY2026 YTD Sep</t>
        </is>
      </c>
      <c r="P4" s="9" t="inlineStr">
        <is>
          <t>FY2026 forecast</t>
        </is>
      </c>
      <c r="Q4" s="9" t="inlineStr">
        <is>
          <t>FY2026 variance</t>
        </is>
      </c>
      <c r="R4" s="9" t="inlineStr">
        <is>
          <t>In-service year</t>
        </is>
      </c>
      <c r="S4" s="9" t="inlineStr">
        <is>
          <t>Annual EBITDA uplift</t>
        </is>
      </c>
      <c r="T4" s="9" t="inlineStr">
        <is>
          <t>NPV @ WACC</t>
        </is>
      </c>
      <c r="U4" s="9" t="inlineStr">
        <is>
          <t>IRR</t>
        </is>
      </c>
      <c r="V4" s="9" t="inlineStr">
        <is>
          <t>Payback (years)</t>
        </is>
      </c>
      <c r="W4" s="9" t="inlineStr">
        <is>
          <t>Status</t>
        </is>
      </c>
    </row>
    <row r="5">
      <c r="A5" t="inlineStr">
        <is>
          <t>G1</t>
        </is>
      </c>
      <c r="B5" t="inlineStr">
        <is>
          <t>Aggregates</t>
        </is>
      </c>
      <c r="C5" t="inlineStr">
        <is>
          <t>Southeast greenfield quarry</t>
        </is>
      </c>
      <c r="D5" t="inlineStr">
        <is>
          <t>Growth</t>
        </is>
      </c>
      <c r="E5" s="6" t="n">
        <v>160</v>
      </c>
      <c r="F5" s="6" t="n">
        <v>31</v>
      </c>
      <c r="G5" s="6" t="n">
        <v>94</v>
      </c>
      <c r="H5" s="6" t="n">
        <v>35</v>
      </c>
      <c r="I5" s="6" t="n">
        <v>0</v>
      </c>
      <c r="J5" s="6" t="n">
        <v>0</v>
      </c>
      <c r="K5" s="6" t="n">
        <v>0</v>
      </c>
      <c r="L5" s="16">
        <f>SUM(F5:K5)</f>
        <v/>
      </c>
      <c r="M5" s="16">
        <f>L5-E5</f>
        <v/>
      </c>
      <c r="N5" s="6" t="n">
        <v>40</v>
      </c>
      <c r="O5" s="6" t="n">
        <v>19.8</v>
      </c>
      <c r="P5" s="16">
        <f>F5</f>
        <v/>
      </c>
      <c r="Q5" s="16">
        <f>N5-P5</f>
        <v/>
      </c>
      <c r="R5" s="8" t="n">
        <v>2029</v>
      </c>
      <c r="S5" s="6" t="n">
        <v>32</v>
      </c>
      <c r="T5" s="16">
        <f>C18+NPV(WACC,D18:V18)</f>
        <v/>
      </c>
      <c r="U5" s="13">
        <f>IRR(C18:V18)</f>
        <v/>
      </c>
      <c r="V5" s="17">
        <f>COUNTIF(C29:V29,"&lt;0")</f>
        <v/>
      </c>
      <c r="W5" s="5" t="inlineStr">
        <is>
          <t>Delayed: permitting; $9M shifted to 2027</t>
        </is>
      </c>
    </row>
    <row r="6">
      <c r="A6" t="inlineStr">
        <is>
          <t>G2</t>
        </is>
      </c>
      <c r="B6" t="inlineStr">
        <is>
          <t>Aggregates</t>
        </is>
      </c>
      <c r="C6" t="inlineStr">
        <is>
          <t>Rail-served distribution yard</t>
        </is>
      </c>
      <c r="D6" t="inlineStr">
        <is>
          <t>Growth</t>
        </is>
      </c>
      <c r="E6" s="6" t="n">
        <v>40</v>
      </c>
      <c r="F6" s="6" t="n">
        <v>18</v>
      </c>
      <c r="G6" s="6" t="n">
        <v>22</v>
      </c>
      <c r="H6" s="6" t="n">
        <v>0</v>
      </c>
      <c r="I6" s="6" t="n">
        <v>0</v>
      </c>
      <c r="J6" s="6" t="n">
        <v>0</v>
      </c>
      <c r="K6" s="6" t="n">
        <v>0</v>
      </c>
      <c r="L6" s="16">
        <f>SUM(F6:K6)</f>
        <v/>
      </c>
      <c r="M6" s="16">
        <f>L6-E6</f>
        <v/>
      </c>
      <c r="N6" s="6" t="n">
        <v>18</v>
      </c>
      <c r="O6" s="6" t="n">
        <v>13.1</v>
      </c>
      <c r="P6" s="16">
        <f>F6</f>
        <v/>
      </c>
      <c r="Q6" s="16">
        <f>N6-P6</f>
        <v/>
      </c>
      <c r="R6" s="8" t="n">
        <v>2028</v>
      </c>
      <c r="S6" s="6" t="n">
        <v>9</v>
      </c>
      <c r="T6" s="16">
        <f>C19+NPV(WACC,D19:V19)</f>
        <v/>
      </c>
      <c r="U6" s="13">
        <f>IRR(C19:V19)</f>
        <v/>
      </c>
      <c r="V6" s="17">
        <f>COUNTIF(C30:V30,"&lt;0")</f>
        <v/>
      </c>
      <c r="W6" s="5" t="inlineStr">
        <is>
          <t>On track</t>
        </is>
      </c>
    </row>
    <row r="7">
      <c r="A7" t="inlineStr">
        <is>
          <t>G3</t>
        </is>
      </c>
      <c r="B7" t="inlineStr">
        <is>
          <t>Cement</t>
        </is>
      </c>
      <c r="C7" t="inlineStr">
        <is>
          <t>Kiln efficiency and alternative fuels</t>
        </is>
      </c>
      <c r="D7" t="inlineStr">
        <is>
          <t>Growth</t>
        </is>
      </c>
      <c r="E7" s="6" t="n">
        <v>75</v>
      </c>
      <c r="F7" s="6" t="n">
        <v>36</v>
      </c>
      <c r="G7" s="6" t="n">
        <v>45</v>
      </c>
      <c r="H7" s="6" t="n">
        <v>0</v>
      </c>
      <c r="I7" s="6" t="n">
        <v>0</v>
      </c>
      <c r="J7" s="6" t="n">
        <v>0</v>
      </c>
      <c r="K7" s="6" t="n">
        <v>0</v>
      </c>
      <c r="L7" s="16">
        <f>SUM(F7:K7)</f>
        <v/>
      </c>
      <c r="M7" s="16">
        <f>L7-E7</f>
        <v/>
      </c>
      <c r="N7" s="6" t="n">
        <v>30</v>
      </c>
      <c r="O7" s="6" t="n">
        <v>27.4</v>
      </c>
      <c r="P7" s="16">
        <f>F7</f>
        <v/>
      </c>
      <c r="Q7" s="16">
        <f>N7-P7</f>
        <v/>
      </c>
      <c r="R7" s="8" t="n">
        <v>2028</v>
      </c>
      <c r="S7" s="6" t="n">
        <v>14</v>
      </c>
      <c r="T7" s="16">
        <f>C20+NPV(WACC,D20:V20)</f>
        <v/>
      </c>
      <c r="U7" s="13">
        <f>IRR(C20:V20)</f>
        <v/>
      </c>
      <c r="V7" s="17">
        <f>COUNTIF(C31:V31,"&lt;0")</f>
        <v/>
      </c>
      <c r="W7" s="5" t="inlineStr">
        <is>
          <t>Over budget: equipment cost +$6M</t>
        </is>
      </c>
    </row>
    <row r="8">
      <c r="A8" t="inlineStr">
        <is>
          <t>G4</t>
        </is>
      </c>
      <c r="B8" t="inlineStr">
        <is>
          <t>Cement</t>
        </is>
      </c>
      <c r="C8" t="inlineStr">
        <is>
          <t>Import terminal expansion</t>
        </is>
      </c>
      <c r="D8" t="inlineStr">
        <is>
          <t>Growth</t>
        </is>
      </c>
      <c r="E8" s="6" t="n">
        <v>55</v>
      </c>
      <c r="F8" s="6" t="n">
        <v>0</v>
      </c>
      <c r="G8" s="6" t="n">
        <v>25</v>
      </c>
      <c r="H8" s="6" t="n">
        <v>30</v>
      </c>
      <c r="I8" s="6" t="n">
        <v>0</v>
      </c>
      <c r="J8" s="6" t="n">
        <v>0</v>
      </c>
      <c r="K8" s="6" t="n">
        <v>0</v>
      </c>
      <c r="L8" s="16">
        <f>SUM(F8:K8)</f>
        <v/>
      </c>
      <c r="M8" s="16">
        <f>L8-E8</f>
        <v/>
      </c>
      <c r="N8" s="6" t="n">
        <v>0</v>
      </c>
      <c r="O8" s="6" t="n">
        <v>0</v>
      </c>
      <c r="P8" s="16">
        <f>F8</f>
        <v/>
      </c>
      <c r="Q8" s="16">
        <f>N8-P8</f>
        <v/>
      </c>
      <c r="R8" s="8" t="n">
        <v>2029</v>
      </c>
      <c r="S8" s="6" t="n">
        <v>8</v>
      </c>
      <c r="T8" s="16">
        <f>C21+NPV(WACC,D21:V21)</f>
        <v/>
      </c>
      <c r="U8" s="13">
        <f>IRR(C21:V21)</f>
        <v/>
      </c>
      <c r="V8" s="17">
        <f>COUNTIF(C32:V32,"&lt;0")</f>
        <v/>
      </c>
      <c r="W8" s="5" t="inlineStr">
        <is>
          <t>Approved; starts 2027</t>
        </is>
      </c>
    </row>
    <row r="9">
      <c r="A9" t="inlineStr">
        <is>
          <t>G5</t>
        </is>
      </c>
      <c r="B9" t="inlineStr">
        <is>
          <t>Ready-Mix Concrete</t>
        </is>
      </c>
      <c r="C9" t="inlineStr">
        <is>
          <t>Plant automation (8 plants)</t>
        </is>
      </c>
      <c r="D9" t="inlineStr">
        <is>
          <t>Growth</t>
        </is>
      </c>
      <c r="E9" s="6" t="n">
        <v>26</v>
      </c>
      <c r="F9" s="6" t="n">
        <v>12</v>
      </c>
      <c r="G9" s="6" t="n">
        <v>14</v>
      </c>
      <c r="H9" s="6" t="n">
        <v>0</v>
      </c>
      <c r="I9" s="6" t="n">
        <v>0</v>
      </c>
      <c r="J9" s="6" t="n">
        <v>0</v>
      </c>
      <c r="K9" s="6" t="n">
        <v>0</v>
      </c>
      <c r="L9" s="16">
        <f>SUM(F9:K9)</f>
        <v/>
      </c>
      <c r="M9" s="16">
        <f>L9-E9</f>
        <v/>
      </c>
      <c r="N9" s="6" t="n">
        <v>12</v>
      </c>
      <c r="O9" s="6" t="n">
        <v>8.6</v>
      </c>
      <c r="P9" s="16">
        <f>F9</f>
        <v/>
      </c>
      <c r="Q9" s="16">
        <f>N9-P9</f>
        <v/>
      </c>
      <c r="R9" s="8" t="n">
        <v>2028</v>
      </c>
      <c r="S9" s="6" t="n">
        <v>6</v>
      </c>
      <c r="T9" s="16">
        <f>C22+NPV(WACC,D22:V22)</f>
        <v/>
      </c>
      <c r="U9" s="13">
        <f>IRR(C22:V22)</f>
        <v/>
      </c>
      <c r="V9" s="17">
        <f>COUNTIF(C33:V33,"&lt;0")</f>
        <v/>
      </c>
      <c r="W9" s="5" t="inlineStr">
        <is>
          <t>On track</t>
        </is>
      </c>
    </row>
    <row r="10">
      <c r="A10" t="inlineStr">
        <is>
          <t>G6</t>
        </is>
      </c>
      <c r="B10" t="inlineStr">
        <is>
          <t>Ready-Mix Concrete</t>
        </is>
      </c>
      <c r="C10" t="inlineStr">
        <is>
          <t>Two new Texas plants</t>
        </is>
      </c>
      <c r="D10" t="inlineStr">
        <is>
          <t>Growth</t>
        </is>
      </c>
      <c r="E10" s="6" t="n">
        <v>46</v>
      </c>
      <c r="F10" s="6" t="n">
        <v>0</v>
      </c>
      <c r="G10" s="6" t="n">
        <v>20</v>
      </c>
      <c r="H10" s="6" t="n">
        <v>26</v>
      </c>
      <c r="I10" s="6" t="n">
        <v>0</v>
      </c>
      <c r="J10" s="6" t="n">
        <v>0</v>
      </c>
      <c r="K10" s="6" t="n">
        <v>0</v>
      </c>
      <c r="L10" s="16">
        <f>SUM(F10:K10)</f>
        <v/>
      </c>
      <c r="M10" s="16">
        <f>L10-E10</f>
        <v/>
      </c>
      <c r="N10" s="6" t="n">
        <v>0</v>
      </c>
      <c r="O10" s="6" t="n">
        <v>0</v>
      </c>
      <c r="P10" s="16">
        <f>F10</f>
        <v/>
      </c>
      <c r="Q10" s="16">
        <f>N10-P10</f>
        <v/>
      </c>
      <c r="R10" s="8" t="n">
        <v>2029</v>
      </c>
      <c r="S10" s="6" t="n">
        <v>7</v>
      </c>
      <c r="T10" s="16">
        <f>C23+NPV(WACC,D23:V23)</f>
        <v/>
      </c>
      <c r="U10" s="13">
        <f>IRR(C23:V23)</f>
        <v/>
      </c>
      <c r="V10" s="17">
        <f>COUNTIF(C34:V34,"&lt;0")</f>
        <v/>
      </c>
      <c r="W10" s="5" t="inlineStr">
        <is>
          <t>Approved; starts 2027</t>
        </is>
      </c>
    </row>
    <row r="11">
      <c r="A11" t="inlineStr">
        <is>
          <t>G7</t>
        </is>
      </c>
      <c r="B11" t="inlineStr">
        <is>
          <t>Asphalt &amp; Paving</t>
        </is>
      </c>
      <c r="C11" t="inlineStr">
        <is>
          <t>Recycled asphalt (RAP) upgrade</t>
        </is>
      </c>
      <c r="D11" t="inlineStr">
        <is>
          <t>Growth</t>
        </is>
      </c>
      <c r="E11" s="6" t="n">
        <v>22</v>
      </c>
      <c r="F11" s="6" t="n">
        <v>7</v>
      </c>
      <c r="G11" s="6" t="n">
        <v>15</v>
      </c>
      <c r="H11" s="6" t="n">
        <v>0</v>
      </c>
      <c r="I11" s="6" t="n">
        <v>0</v>
      </c>
      <c r="J11" s="6" t="n">
        <v>0</v>
      </c>
      <c r="K11" s="6" t="n">
        <v>0</v>
      </c>
      <c r="L11" s="16">
        <f>SUM(F11:K11)</f>
        <v/>
      </c>
      <c r="M11" s="16">
        <f>L11-E11</f>
        <v/>
      </c>
      <c r="N11" s="6" t="n">
        <v>10</v>
      </c>
      <c r="O11" s="6" t="n">
        <v>4.2</v>
      </c>
      <c r="P11" s="16">
        <f>F11</f>
        <v/>
      </c>
      <c r="Q11" s="16">
        <f>N11-P11</f>
        <v/>
      </c>
      <c r="R11" s="8" t="n">
        <v>2028</v>
      </c>
      <c r="S11" s="6" t="n">
        <v>5</v>
      </c>
      <c r="T11" s="16">
        <f>C24+NPV(WACC,D24:V24)</f>
        <v/>
      </c>
      <c r="U11" s="13">
        <f>IRR(C24:V24)</f>
        <v/>
      </c>
      <c r="V11" s="17">
        <f>COUNTIF(C35:V35,"&lt;0")</f>
        <v/>
      </c>
      <c r="W11" s="5" t="inlineStr">
        <is>
          <t>Delayed: vendor lead time; $3M shifted to 2027</t>
        </is>
      </c>
    </row>
    <row r="12">
      <c r="A12" t="inlineStr">
        <is>
          <t>G8</t>
        </is>
      </c>
      <c r="B12" t="inlineStr">
        <is>
          <t>Asphalt &amp; Paving</t>
        </is>
      </c>
      <c r="C12" t="inlineStr">
        <is>
          <t>Hot-mix plant bolt-on acquisition</t>
        </is>
      </c>
      <c r="D12" t="inlineStr">
        <is>
          <t>Growth</t>
        </is>
      </c>
      <c r="E12" s="6" t="n">
        <v>45</v>
      </c>
      <c r="F12" s="6" t="n">
        <v>0</v>
      </c>
      <c r="G12" s="6" t="n">
        <v>0</v>
      </c>
      <c r="H12" s="6" t="n">
        <v>45</v>
      </c>
      <c r="I12" s="6" t="n">
        <v>0</v>
      </c>
      <c r="J12" s="6" t="n">
        <v>0</v>
      </c>
      <c r="K12" s="6" t="n">
        <v>0</v>
      </c>
      <c r="L12" s="16">
        <f>SUM(F12:K12)</f>
        <v/>
      </c>
      <c r="M12" s="16">
        <f>L12-E12</f>
        <v/>
      </c>
      <c r="N12" s="6" t="n">
        <v>0</v>
      </c>
      <c r="O12" s="6" t="n">
        <v>0</v>
      </c>
      <c r="P12" s="16">
        <f>F12</f>
        <v/>
      </c>
      <c r="Q12" s="16">
        <f>N12-P12</f>
        <v/>
      </c>
      <c r="R12" s="8" t="n">
        <v>2029</v>
      </c>
      <c r="S12" s="6" t="n">
        <v>9.5</v>
      </c>
      <c r="T12" s="16">
        <f>C25+NPV(WACC,D25:V25)</f>
        <v/>
      </c>
      <c r="U12" s="13">
        <f>IRR(C25:V25)</f>
        <v/>
      </c>
      <c r="V12" s="17">
        <f>COUNTIF(C36:V36,"&lt;0")</f>
        <v/>
      </c>
      <c r="W12" s="5" t="inlineStr">
        <is>
          <t>Pipeline; board approval 2027</t>
        </is>
      </c>
    </row>
    <row r="13">
      <c r="C13" s="3" t="inlineStr">
        <is>
          <t>Total</t>
        </is>
      </c>
      <c r="E13" s="18">
        <f>SUM(E5:E12)</f>
        <v/>
      </c>
      <c r="F13" s="18">
        <f>SUM(F5:F12)</f>
        <v/>
      </c>
      <c r="G13" s="18">
        <f>SUM(G5:G12)</f>
        <v/>
      </c>
      <c r="H13" s="18">
        <f>SUM(H5:H12)</f>
        <v/>
      </c>
      <c r="I13" s="18">
        <f>SUM(I5:I12)</f>
        <v/>
      </c>
      <c r="J13" s="18">
        <f>SUM(J5:J12)</f>
        <v/>
      </c>
      <c r="K13" s="18">
        <f>SUM(K5:K12)</f>
        <v/>
      </c>
      <c r="L13" s="18">
        <f>SUM(L5:L12)</f>
        <v/>
      </c>
      <c r="M13" s="18">
        <f>SUM(M5:M12)</f>
        <v/>
      </c>
      <c r="N13" s="18">
        <f>SUM(N5:N12)</f>
        <v/>
      </c>
      <c r="O13" s="18">
        <f>SUM(O5:O12)</f>
        <v/>
      </c>
      <c r="P13" s="18">
        <f>SUM(P5:P12)</f>
        <v/>
      </c>
      <c r="Q13" s="18">
        <f>SUM(Q5:Q12)</f>
        <v/>
      </c>
      <c r="S13" s="18">
        <f>SUM(S5:S12)</f>
        <v/>
      </c>
      <c r="T13" s="18">
        <f>SUM(T5:T12)</f>
        <v/>
      </c>
    </row>
    <row r="16">
      <c r="A16" s="3" t="inlineStr">
        <is>
          <t>Project cash flows: -spend + EBITDA uplift x (1 - tax) once in service</t>
        </is>
      </c>
    </row>
    <row r="17">
      <c r="A17" s="9" t="inlineStr">
        <is>
          <t>ID</t>
        </is>
      </c>
      <c r="B17" s="9" t="inlineStr">
        <is>
          <t>Project</t>
        </is>
      </c>
      <c r="C17" s="9" t="inlineStr">
        <is>
          <t>2026</t>
        </is>
      </c>
      <c r="D17" s="9" t="inlineStr">
        <is>
          <t>2027</t>
        </is>
      </c>
      <c r="E17" s="9" t="inlineStr">
        <is>
          <t>2028</t>
        </is>
      </c>
      <c r="F17" s="9" t="inlineStr">
        <is>
          <t>2029</t>
        </is>
      </c>
      <c r="G17" s="9" t="inlineStr">
        <is>
          <t>2030</t>
        </is>
      </c>
      <c r="H17" s="9" t="inlineStr">
        <is>
          <t>2031</t>
        </is>
      </c>
      <c r="I17" s="9" t="inlineStr">
        <is>
          <t>2032</t>
        </is>
      </c>
      <c r="J17" s="9" t="inlineStr">
        <is>
          <t>2033</t>
        </is>
      </c>
      <c r="K17" s="9" t="inlineStr">
        <is>
          <t>2034</t>
        </is>
      </c>
      <c r="L17" s="9" t="inlineStr">
        <is>
          <t>2035</t>
        </is>
      </c>
      <c r="M17" s="9" t="inlineStr">
        <is>
          <t>2036</t>
        </is>
      </c>
      <c r="N17" s="9" t="inlineStr">
        <is>
          <t>2037</t>
        </is>
      </c>
      <c r="O17" s="9" t="inlineStr">
        <is>
          <t>2038</t>
        </is>
      </c>
      <c r="P17" s="9" t="inlineStr">
        <is>
          <t>2039</t>
        </is>
      </c>
      <c r="Q17" s="9" t="inlineStr">
        <is>
          <t>2040</t>
        </is>
      </c>
      <c r="R17" s="9" t="inlineStr">
        <is>
          <t>2041</t>
        </is>
      </c>
      <c r="S17" s="9" t="inlineStr">
        <is>
          <t>2042</t>
        </is>
      </c>
      <c r="T17" s="9" t="inlineStr">
        <is>
          <t>2043</t>
        </is>
      </c>
      <c r="U17" s="9" t="inlineStr">
        <is>
          <t>2044</t>
        </is>
      </c>
      <c r="V17" s="9" t="inlineStr">
        <is>
          <t>2045</t>
        </is>
      </c>
    </row>
    <row r="18">
      <c r="A18">
        <f>A5</f>
        <v/>
      </c>
      <c r="B18">
        <f>C5</f>
        <v/>
      </c>
      <c r="C18" s="16">
        <f>-F5+IF(2026&gt;=$R$5,$S$5*(1-TaxRate),0)</f>
        <v/>
      </c>
      <c r="D18" s="16">
        <f>-G5+IF(2027&gt;=$R$5,$S$5*(1-TaxRate),0)</f>
        <v/>
      </c>
      <c r="E18" s="16">
        <f>-H5+IF(2028&gt;=$R$5,$S$5*(1-TaxRate),0)</f>
        <v/>
      </c>
      <c r="F18" s="16">
        <f>-I5+IF(2029&gt;=$R$5,$S$5*(1-TaxRate),0)</f>
        <v/>
      </c>
      <c r="G18" s="16">
        <f>-J5+IF(2030&gt;=$R$5,$S$5*(1-TaxRate),0)</f>
        <v/>
      </c>
      <c r="H18" s="16">
        <f>-K5+IF(2031&gt;=$R$5,$S$5*(1-TaxRate),0)</f>
        <v/>
      </c>
      <c r="I18" s="16">
        <f>0+IF(2032&gt;=$R$5,$S$5*(1-TaxRate),0)</f>
        <v/>
      </c>
      <c r="J18" s="16">
        <f>0+IF(2033&gt;=$R$5,$S$5*(1-TaxRate),0)</f>
        <v/>
      </c>
      <c r="K18" s="16">
        <f>0+IF(2034&gt;=$R$5,$S$5*(1-TaxRate),0)</f>
        <v/>
      </c>
      <c r="L18" s="16">
        <f>0+IF(2035&gt;=$R$5,$S$5*(1-TaxRate),0)</f>
        <v/>
      </c>
      <c r="M18" s="16">
        <f>0+IF(2036&gt;=$R$5,$S$5*(1-TaxRate),0)</f>
        <v/>
      </c>
      <c r="N18" s="16">
        <f>0+IF(2037&gt;=$R$5,$S$5*(1-TaxRate),0)</f>
        <v/>
      </c>
      <c r="O18" s="16">
        <f>0+IF(2038&gt;=$R$5,$S$5*(1-TaxRate),0)</f>
        <v/>
      </c>
      <c r="P18" s="16">
        <f>0+IF(2039&gt;=$R$5,$S$5*(1-TaxRate),0)</f>
        <v/>
      </c>
      <c r="Q18" s="16">
        <f>0+IF(2040&gt;=$R$5,$S$5*(1-TaxRate),0)</f>
        <v/>
      </c>
      <c r="R18" s="16">
        <f>0+IF(2041&gt;=$R$5,$S$5*(1-TaxRate),0)</f>
        <v/>
      </c>
      <c r="S18" s="16">
        <f>0+IF(2042&gt;=$R$5,$S$5*(1-TaxRate),0)</f>
        <v/>
      </c>
      <c r="T18" s="16">
        <f>0+IF(2043&gt;=$R$5,$S$5*(1-TaxRate),0)</f>
        <v/>
      </c>
      <c r="U18" s="16">
        <f>0+IF(2044&gt;=$R$5,$S$5*(1-TaxRate),0)</f>
        <v/>
      </c>
      <c r="V18" s="16">
        <f>0+IF(2045&gt;=$R$5,$S$5*(1-TaxRate),0)</f>
        <v/>
      </c>
    </row>
    <row r="19">
      <c r="A19">
        <f>A6</f>
        <v/>
      </c>
      <c r="B19">
        <f>C6</f>
        <v/>
      </c>
      <c r="C19" s="16">
        <f>-F6+IF(2026&gt;=$R$6,$S$6*(1-TaxRate),0)</f>
        <v/>
      </c>
      <c r="D19" s="16">
        <f>-G6+IF(2027&gt;=$R$6,$S$6*(1-TaxRate),0)</f>
        <v/>
      </c>
      <c r="E19" s="16">
        <f>-H6+IF(2028&gt;=$R$6,$S$6*(1-TaxRate),0)</f>
        <v/>
      </c>
      <c r="F19" s="16">
        <f>-I6+IF(2029&gt;=$R$6,$S$6*(1-TaxRate),0)</f>
        <v/>
      </c>
      <c r="G19" s="16">
        <f>-J6+IF(2030&gt;=$R$6,$S$6*(1-TaxRate),0)</f>
        <v/>
      </c>
      <c r="H19" s="16">
        <f>-K6+IF(2031&gt;=$R$6,$S$6*(1-TaxRate),0)</f>
        <v/>
      </c>
      <c r="I19" s="16">
        <f>0+IF(2032&gt;=$R$6,$S$6*(1-TaxRate),0)</f>
        <v/>
      </c>
      <c r="J19" s="16">
        <f>0+IF(2033&gt;=$R$6,$S$6*(1-TaxRate),0)</f>
        <v/>
      </c>
      <c r="K19" s="16">
        <f>0+IF(2034&gt;=$R$6,$S$6*(1-TaxRate),0)</f>
        <v/>
      </c>
      <c r="L19" s="16">
        <f>0+IF(2035&gt;=$R$6,$S$6*(1-TaxRate),0)</f>
        <v/>
      </c>
      <c r="M19" s="16">
        <f>0+IF(2036&gt;=$R$6,$S$6*(1-TaxRate),0)</f>
        <v/>
      </c>
      <c r="N19" s="16">
        <f>0+IF(2037&gt;=$R$6,$S$6*(1-TaxRate),0)</f>
        <v/>
      </c>
      <c r="O19" s="16">
        <f>0+IF(2038&gt;=$R$6,$S$6*(1-TaxRate),0)</f>
        <v/>
      </c>
      <c r="P19" s="16">
        <f>0+IF(2039&gt;=$R$6,$S$6*(1-TaxRate),0)</f>
        <v/>
      </c>
      <c r="Q19" s="16">
        <f>0+IF(2040&gt;=$R$6,$S$6*(1-TaxRate),0)</f>
        <v/>
      </c>
      <c r="R19" s="16">
        <f>0+IF(2041&gt;=$R$6,$S$6*(1-TaxRate),0)</f>
        <v/>
      </c>
      <c r="S19" s="16">
        <f>0+IF(2042&gt;=$R$6,$S$6*(1-TaxRate),0)</f>
        <v/>
      </c>
      <c r="T19" s="16">
        <f>0+IF(2043&gt;=$R$6,$S$6*(1-TaxRate),0)</f>
        <v/>
      </c>
      <c r="U19" s="16">
        <f>0+IF(2044&gt;=$R$6,$S$6*(1-TaxRate),0)</f>
        <v/>
      </c>
      <c r="V19" s="16">
        <f>0+IF(2045&gt;=$R$6,$S$6*(1-TaxRate),0)</f>
        <v/>
      </c>
    </row>
    <row r="20">
      <c r="A20">
        <f>A7</f>
        <v/>
      </c>
      <c r="B20">
        <f>C7</f>
        <v/>
      </c>
      <c r="C20" s="16">
        <f>-F7+IF(2026&gt;=$R$7,$S$7*(1-TaxRate),0)</f>
        <v/>
      </c>
      <c r="D20" s="16">
        <f>-G7+IF(2027&gt;=$R$7,$S$7*(1-TaxRate),0)</f>
        <v/>
      </c>
      <c r="E20" s="16">
        <f>-H7+IF(2028&gt;=$R$7,$S$7*(1-TaxRate),0)</f>
        <v/>
      </c>
      <c r="F20" s="16">
        <f>-I7+IF(2029&gt;=$R$7,$S$7*(1-TaxRate),0)</f>
        <v/>
      </c>
      <c r="G20" s="16">
        <f>-J7+IF(2030&gt;=$R$7,$S$7*(1-TaxRate),0)</f>
        <v/>
      </c>
      <c r="H20" s="16">
        <f>-K7+IF(2031&gt;=$R$7,$S$7*(1-TaxRate),0)</f>
        <v/>
      </c>
      <c r="I20" s="16">
        <f>0+IF(2032&gt;=$R$7,$S$7*(1-TaxRate),0)</f>
        <v/>
      </c>
      <c r="J20" s="16">
        <f>0+IF(2033&gt;=$R$7,$S$7*(1-TaxRate),0)</f>
        <v/>
      </c>
      <c r="K20" s="16">
        <f>0+IF(2034&gt;=$R$7,$S$7*(1-TaxRate),0)</f>
        <v/>
      </c>
      <c r="L20" s="16">
        <f>0+IF(2035&gt;=$R$7,$S$7*(1-TaxRate),0)</f>
        <v/>
      </c>
      <c r="M20" s="16">
        <f>0+IF(2036&gt;=$R$7,$S$7*(1-TaxRate),0)</f>
        <v/>
      </c>
      <c r="N20" s="16">
        <f>0+IF(2037&gt;=$R$7,$S$7*(1-TaxRate),0)</f>
        <v/>
      </c>
      <c r="O20" s="16">
        <f>0+IF(2038&gt;=$R$7,$S$7*(1-TaxRate),0)</f>
        <v/>
      </c>
      <c r="P20" s="16">
        <f>0+IF(2039&gt;=$R$7,$S$7*(1-TaxRate),0)</f>
        <v/>
      </c>
      <c r="Q20" s="16">
        <f>0+IF(2040&gt;=$R$7,$S$7*(1-TaxRate),0)</f>
        <v/>
      </c>
      <c r="R20" s="16">
        <f>0+IF(2041&gt;=$R$7,$S$7*(1-TaxRate),0)</f>
        <v/>
      </c>
      <c r="S20" s="16">
        <f>0+IF(2042&gt;=$R$7,$S$7*(1-TaxRate),0)</f>
        <v/>
      </c>
      <c r="T20" s="16">
        <f>0+IF(2043&gt;=$R$7,$S$7*(1-TaxRate),0)</f>
        <v/>
      </c>
      <c r="U20" s="16">
        <f>0+IF(2044&gt;=$R$7,$S$7*(1-TaxRate),0)</f>
        <v/>
      </c>
      <c r="V20" s="16">
        <f>0+IF(2045&gt;=$R$7,$S$7*(1-TaxRate),0)</f>
        <v/>
      </c>
    </row>
    <row r="21">
      <c r="A21">
        <f>A8</f>
        <v/>
      </c>
      <c r="B21">
        <f>C8</f>
        <v/>
      </c>
      <c r="C21" s="16">
        <f>-F8+IF(2026&gt;=$R$8,$S$8*(1-TaxRate),0)</f>
        <v/>
      </c>
      <c r="D21" s="16">
        <f>-G8+IF(2027&gt;=$R$8,$S$8*(1-TaxRate),0)</f>
        <v/>
      </c>
      <c r="E21" s="16">
        <f>-H8+IF(2028&gt;=$R$8,$S$8*(1-TaxRate),0)</f>
        <v/>
      </c>
      <c r="F21" s="16">
        <f>-I8+IF(2029&gt;=$R$8,$S$8*(1-TaxRate),0)</f>
        <v/>
      </c>
      <c r="G21" s="16">
        <f>-J8+IF(2030&gt;=$R$8,$S$8*(1-TaxRate),0)</f>
        <v/>
      </c>
      <c r="H21" s="16">
        <f>-K8+IF(2031&gt;=$R$8,$S$8*(1-TaxRate),0)</f>
        <v/>
      </c>
      <c r="I21" s="16">
        <f>0+IF(2032&gt;=$R$8,$S$8*(1-TaxRate),0)</f>
        <v/>
      </c>
      <c r="J21" s="16">
        <f>0+IF(2033&gt;=$R$8,$S$8*(1-TaxRate),0)</f>
        <v/>
      </c>
      <c r="K21" s="16">
        <f>0+IF(2034&gt;=$R$8,$S$8*(1-TaxRate),0)</f>
        <v/>
      </c>
      <c r="L21" s="16">
        <f>0+IF(2035&gt;=$R$8,$S$8*(1-TaxRate),0)</f>
        <v/>
      </c>
      <c r="M21" s="16">
        <f>0+IF(2036&gt;=$R$8,$S$8*(1-TaxRate),0)</f>
        <v/>
      </c>
      <c r="N21" s="16">
        <f>0+IF(2037&gt;=$R$8,$S$8*(1-TaxRate),0)</f>
        <v/>
      </c>
      <c r="O21" s="16">
        <f>0+IF(2038&gt;=$R$8,$S$8*(1-TaxRate),0)</f>
        <v/>
      </c>
      <c r="P21" s="16">
        <f>0+IF(2039&gt;=$R$8,$S$8*(1-TaxRate),0)</f>
        <v/>
      </c>
      <c r="Q21" s="16">
        <f>0+IF(2040&gt;=$R$8,$S$8*(1-TaxRate),0)</f>
        <v/>
      </c>
      <c r="R21" s="16">
        <f>0+IF(2041&gt;=$R$8,$S$8*(1-TaxRate),0)</f>
        <v/>
      </c>
      <c r="S21" s="16">
        <f>0+IF(2042&gt;=$R$8,$S$8*(1-TaxRate),0)</f>
        <v/>
      </c>
      <c r="T21" s="16">
        <f>0+IF(2043&gt;=$R$8,$S$8*(1-TaxRate),0)</f>
        <v/>
      </c>
      <c r="U21" s="16">
        <f>0+IF(2044&gt;=$R$8,$S$8*(1-TaxRate),0)</f>
        <v/>
      </c>
      <c r="V21" s="16">
        <f>0+IF(2045&gt;=$R$8,$S$8*(1-TaxRate),0)</f>
        <v/>
      </c>
    </row>
    <row r="22">
      <c r="A22">
        <f>A9</f>
        <v/>
      </c>
      <c r="B22">
        <f>C9</f>
        <v/>
      </c>
      <c r="C22" s="16">
        <f>-F9+IF(2026&gt;=$R$9,$S$9*(1-TaxRate),0)</f>
        <v/>
      </c>
      <c r="D22" s="16">
        <f>-G9+IF(2027&gt;=$R$9,$S$9*(1-TaxRate),0)</f>
        <v/>
      </c>
      <c r="E22" s="16">
        <f>-H9+IF(2028&gt;=$R$9,$S$9*(1-TaxRate),0)</f>
        <v/>
      </c>
      <c r="F22" s="16">
        <f>-I9+IF(2029&gt;=$R$9,$S$9*(1-TaxRate),0)</f>
        <v/>
      </c>
      <c r="G22" s="16">
        <f>-J9+IF(2030&gt;=$R$9,$S$9*(1-TaxRate),0)</f>
        <v/>
      </c>
      <c r="H22" s="16">
        <f>-K9+IF(2031&gt;=$R$9,$S$9*(1-TaxRate),0)</f>
        <v/>
      </c>
      <c r="I22" s="16">
        <f>0+IF(2032&gt;=$R$9,$S$9*(1-TaxRate),0)</f>
        <v/>
      </c>
      <c r="J22" s="16">
        <f>0+IF(2033&gt;=$R$9,$S$9*(1-TaxRate),0)</f>
        <v/>
      </c>
      <c r="K22" s="16">
        <f>0+IF(2034&gt;=$R$9,$S$9*(1-TaxRate),0)</f>
        <v/>
      </c>
      <c r="L22" s="16">
        <f>0+IF(2035&gt;=$R$9,$S$9*(1-TaxRate),0)</f>
        <v/>
      </c>
      <c r="M22" s="16">
        <f>0+IF(2036&gt;=$R$9,$S$9*(1-TaxRate),0)</f>
        <v/>
      </c>
      <c r="N22" s="16">
        <f>0+IF(2037&gt;=$R$9,$S$9*(1-TaxRate),0)</f>
        <v/>
      </c>
      <c r="O22" s="16">
        <f>0+IF(2038&gt;=$R$9,$S$9*(1-TaxRate),0)</f>
        <v/>
      </c>
      <c r="P22" s="16">
        <f>0+IF(2039&gt;=$R$9,$S$9*(1-TaxRate),0)</f>
        <v/>
      </c>
      <c r="Q22" s="16">
        <f>0+IF(2040&gt;=$R$9,$S$9*(1-TaxRate),0)</f>
        <v/>
      </c>
      <c r="R22" s="16">
        <f>0+IF(2041&gt;=$R$9,$S$9*(1-TaxRate),0)</f>
        <v/>
      </c>
      <c r="S22" s="16">
        <f>0+IF(2042&gt;=$R$9,$S$9*(1-TaxRate),0)</f>
        <v/>
      </c>
      <c r="T22" s="16">
        <f>0+IF(2043&gt;=$R$9,$S$9*(1-TaxRate),0)</f>
        <v/>
      </c>
      <c r="U22" s="16">
        <f>0+IF(2044&gt;=$R$9,$S$9*(1-TaxRate),0)</f>
        <v/>
      </c>
      <c r="V22" s="16">
        <f>0+IF(2045&gt;=$R$9,$S$9*(1-TaxRate),0)</f>
        <v/>
      </c>
    </row>
    <row r="23">
      <c r="A23">
        <f>A10</f>
        <v/>
      </c>
      <c r="B23">
        <f>C10</f>
        <v/>
      </c>
      <c r="C23" s="16">
        <f>-F10+IF(2026&gt;=$R$10,$S$10*(1-TaxRate),0)</f>
        <v/>
      </c>
      <c r="D23" s="16">
        <f>-G10+IF(2027&gt;=$R$10,$S$10*(1-TaxRate),0)</f>
        <v/>
      </c>
      <c r="E23" s="16">
        <f>-H10+IF(2028&gt;=$R$10,$S$10*(1-TaxRate),0)</f>
        <v/>
      </c>
      <c r="F23" s="16">
        <f>-I10+IF(2029&gt;=$R$10,$S$10*(1-TaxRate),0)</f>
        <v/>
      </c>
      <c r="G23" s="16">
        <f>-J10+IF(2030&gt;=$R$10,$S$10*(1-TaxRate),0)</f>
        <v/>
      </c>
      <c r="H23" s="16">
        <f>-K10+IF(2031&gt;=$R$10,$S$10*(1-TaxRate),0)</f>
        <v/>
      </c>
      <c r="I23" s="16">
        <f>0+IF(2032&gt;=$R$10,$S$10*(1-TaxRate),0)</f>
        <v/>
      </c>
      <c r="J23" s="16">
        <f>0+IF(2033&gt;=$R$10,$S$10*(1-TaxRate),0)</f>
        <v/>
      </c>
      <c r="K23" s="16">
        <f>0+IF(2034&gt;=$R$10,$S$10*(1-TaxRate),0)</f>
        <v/>
      </c>
      <c r="L23" s="16">
        <f>0+IF(2035&gt;=$R$10,$S$10*(1-TaxRate),0)</f>
        <v/>
      </c>
      <c r="M23" s="16">
        <f>0+IF(2036&gt;=$R$10,$S$10*(1-TaxRate),0)</f>
        <v/>
      </c>
      <c r="N23" s="16">
        <f>0+IF(2037&gt;=$R$10,$S$10*(1-TaxRate),0)</f>
        <v/>
      </c>
      <c r="O23" s="16">
        <f>0+IF(2038&gt;=$R$10,$S$10*(1-TaxRate),0)</f>
        <v/>
      </c>
      <c r="P23" s="16">
        <f>0+IF(2039&gt;=$R$10,$S$10*(1-TaxRate),0)</f>
        <v/>
      </c>
      <c r="Q23" s="16">
        <f>0+IF(2040&gt;=$R$10,$S$10*(1-TaxRate),0)</f>
        <v/>
      </c>
      <c r="R23" s="16">
        <f>0+IF(2041&gt;=$R$10,$S$10*(1-TaxRate),0)</f>
        <v/>
      </c>
      <c r="S23" s="16">
        <f>0+IF(2042&gt;=$R$10,$S$10*(1-TaxRate),0)</f>
        <v/>
      </c>
      <c r="T23" s="16">
        <f>0+IF(2043&gt;=$R$10,$S$10*(1-TaxRate),0)</f>
        <v/>
      </c>
      <c r="U23" s="16">
        <f>0+IF(2044&gt;=$R$10,$S$10*(1-TaxRate),0)</f>
        <v/>
      </c>
      <c r="V23" s="16">
        <f>0+IF(2045&gt;=$R$10,$S$10*(1-TaxRate),0)</f>
        <v/>
      </c>
    </row>
    <row r="24">
      <c r="A24">
        <f>A11</f>
        <v/>
      </c>
      <c r="B24">
        <f>C11</f>
        <v/>
      </c>
      <c r="C24" s="16">
        <f>-F11+IF(2026&gt;=$R$11,$S$11*(1-TaxRate),0)</f>
        <v/>
      </c>
      <c r="D24" s="16">
        <f>-G11+IF(2027&gt;=$R$11,$S$11*(1-TaxRate),0)</f>
        <v/>
      </c>
      <c r="E24" s="16">
        <f>-H11+IF(2028&gt;=$R$11,$S$11*(1-TaxRate),0)</f>
        <v/>
      </c>
      <c r="F24" s="16">
        <f>-I11+IF(2029&gt;=$R$11,$S$11*(1-TaxRate),0)</f>
        <v/>
      </c>
      <c r="G24" s="16">
        <f>-J11+IF(2030&gt;=$R$11,$S$11*(1-TaxRate),0)</f>
        <v/>
      </c>
      <c r="H24" s="16">
        <f>-K11+IF(2031&gt;=$R$11,$S$11*(1-TaxRate),0)</f>
        <v/>
      </c>
      <c r="I24" s="16">
        <f>0+IF(2032&gt;=$R$11,$S$11*(1-TaxRate),0)</f>
        <v/>
      </c>
      <c r="J24" s="16">
        <f>0+IF(2033&gt;=$R$11,$S$11*(1-TaxRate),0)</f>
        <v/>
      </c>
      <c r="K24" s="16">
        <f>0+IF(2034&gt;=$R$11,$S$11*(1-TaxRate),0)</f>
        <v/>
      </c>
      <c r="L24" s="16">
        <f>0+IF(2035&gt;=$R$11,$S$11*(1-TaxRate),0)</f>
        <v/>
      </c>
      <c r="M24" s="16">
        <f>0+IF(2036&gt;=$R$11,$S$11*(1-TaxRate),0)</f>
        <v/>
      </c>
      <c r="N24" s="16">
        <f>0+IF(2037&gt;=$R$11,$S$11*(1-TaxRate),0)</f>
        <v/>
      </c>
      <c r="O24" s="16">
        <f>0+IF(2038&gt;=$R$11,$S$11*(1-TaxRate),0)</f>
        <v/>
      </c>
      <c r="P24" s="16">
        <f>0+IF(2039&gt;=$R$11,$S$11*(1-TaxRate),0)</f>
        <v/>
      </c>
      <c r="Q24" s="16">
        <f>0+IF(2040&gt;=$R$11,$S$11*(1-TaxRate),0)</f>
        <v/>
      </c>
      <c r="R24" s="16">
        <f>0+IF(2041&gt;=$R$11,$S$11*(1-TaxRate),0)</f>
        <v/>
      </c>
      <c r="S24" s="16">
        <f>0+IF(2042&gt;=$R$11,$S$11*(1-TaxRate),0)</f>
        <v/>
      </c>
      <c r="T24" s="16">
        <f>0+IF(2043&gt;=$R$11,$S$11*(1-TaxRate),0)</f>
        <v/>
      </c>
      <c r="U24" s="16">
        <f>0+IF(2044&gt;=$R$11,$S$11*(1-TaxRate),0)</f>
        <v/>
      </c>
      <c r="V24" s="16">
        <f>0+IF(2045&gt;=$R$11,$S$11*(1-TaxRate),0)</f>
        <v/>
      </c>
    </row>
    <row r="25">
      <c r="A25">
        <f>A12</f>
        <v/>
      </c>
      <c r="B25">
        <f>C12</f>
        <v/>
      </c>
      <c r="C25" s="16">
        <f>-F12+IF(2026&gt;=$R$12,$S$12*(1-TaxRate),0)</f>
        <v/>
      </c>
      <c r="D25" s="16">
        <f>-G12+IF(2027&gt;=$R$12,$S$12*(1-TaxRate),0)</f>
        <v/>
      </c>
      <c r="E25" s="16">
        <f>-H12+IF(2028&gt;=$R$12,$S$12*(1-TaxRate),0)</f>
        <v/>
      </c>
      <c r="F25" s="16">
        <f>-I12+IF(2029&gt;=$R$12,$S$12*(1-TaxRate),0)</f>
        <v/>
      </c>
      <c r="G25" s="16">
        <f>-J12+IF(2030&gt;=$R$12,$S$12*(1-TaxRate),0)</f>
        <v/>
      </c>
      <c r="H25" s="16">
        <f>-K12+IF(2031&gt;=$R$12,$S$12*(1-TaxRate),0)</f>
        <v/>
      </c>
      <c r="I25" s="16">
        <f>0+IF(2032&gt;=$R$12,$S$12*(1-TaxRate),0)</f>
        <v/>
      </c>
      <c r="J25" s="16">
        <f>0+IF(2033&gt;=$R$12,$S$12*(1-TaxRate),0)</f>
        <v/>
      </c>
      <c r="K25" s="16">
        <f>0+IF(2034&gt;=$R$12,$S$12*(1-TaxRate),0)</f>
        <v/>
      </c>
      <c r="L25" s="16">
        <f>0+IF(2035&gt;=$R$12,$S$12*(1-TaxRate),0)</f>
        <v/>
      </c>
      <c r="M25" s="16">
        <f>0+IF(2036&gt;=$R$12,$S$12*(1-TaxRate),0)</f>
        <v/>
      </c>
      <c r="N25" s="16">
        <f>0+IF(2037&gt;=$R$12,$S$12*(1-TaxRate),0)</f>
        <v/>
      </c>
      <c r="O25" s="16">
        <f>0+IF(2038&gt;=$R$12,$S$12*(1-TaxRate),0)</f>
        <v/>
      </c>
      <c r="P25" s="16">
        <f>0+IF(2039&gt;=$R$12,$S$12*(1-TaxRate),0)</f>
        <v/>
      </c>
      <c r="Q25" s="16">
        <f>0+IF(2040&gt;=$R$12,$S$12*(1-TaxRate),0)</f>
        <v/>
      </c>
      <c r="R25" s="16">
        <f>0+IF(2041&gt;=$R$12,$S$12*(1-TaxRate),0)</f>
        <v/>
      </c>
      <c r="S25" s="16">
        <f>0+IF(2042&gt;=$R$12,$S$12*(1-TaxRate),0)</f>
        <v/>
      </c>
      <c r="T25" s="16">
        <f>0+IF(2043&gt;=$R$12,$S$12*(1-TaxRate),0)</f>
        <v/>
      </c>
      <c r="U25" s="16">
        <f>0+IF(2044&gt;=$R$12,$S$12*(1-TaxRate),0)</f>
        <v/>
      </c>
      <c r="V25" s="16">
        <f>0+IF(2045&gt;=$R$12,$S$12*(1-TaxRate),0)</f>
        <v/>
      </c>
    </row>
    <row r="28">
      <c r="A28" s="9" t="inlineStr">
        <is>
          <t>ID</t>
        </is>
      </c>
      <c r="B28" s="9" t="inlineStr">
        <is>
          <t>Cumulative</t>
        </is>
      </c>
      <c r="C28" s="9" t="inlineStr">
        <is>
          <t>2026</t>
        </is>
      </c>
      <c r="D28" s="9" t="inlineStr">
        <is>
          <t>2027</t>
        </is>
      </c>
      <c r="E28" s="9" t="inlineStr">
        <is>
          <t>2028</t>
        </is>
      </c>
      <c r="F28" s="9" t="inlineStr">
        <is>
          <t>2029</t>
        </is>
      </c>
      <c r="G28" s="9" t="inlineStr">
        <is>
          <t>2030</t>
        </is>
      </c>
      <c r="H28" s="9" t="inlineStr">
        <is>
          <t>2031</t>
        </is>
      </c>
      <c r="I28" s="9" t="inlineStr">
        <is>
          <t>2032</t>
        </is>
      </c>
      <c r="J28" s="9" t="inlineStr">
        <is>
          <t>2033</t>
        </is>
      </c>
      <c r="K28" s="9" t="inlineStr">
        <is>
          <t>2034</t>
        </is>
      </c>
      <c r="L28" s="9" t="inlineStr">
        <is>
          <t>2035</t>
        </is>
      </c>
      <c r="M28" s="9" t="inlineStr">
        <is>
          <t>2036</t>
        </is>
      </c>
      <c r="N28" s="9" t="inlineStr">
        <is>
          <t>2037</t>
        </is>
      </c>
      <c r="O28" s="9" t="inlineStr">
        <is>
          <t>2038</t>
        </is>
      </c>
      <c r="P28" s="9" t="inlineStr">
        <is>
          <t>2039</t>
        </is>
      </c>
      <c r="Q28" s="9" t="inlineStr">
        <is>
          <t>2040</t>
        </is>
      </c>
      <c r="R28" s="9" t="inlineStr">
        <is>
          <t>2041</t>
        </is>
      </c>
      <c r="S28" s="9" t="inlineStr">
        <is>
          <t>2042</t>
        </is>
      </c>
      <c r="T28" s="9" t="inlineStr">
        <is>
          <t>2043</t>
        </is>
      </c>
      <c r="U28" s="9" t="inlineStr">
        <is>
          <t>2044</t>
        </is>
      </c>
      <c r="V28" s="9" t="inlineStr">
        <is>
          <t>2045</t>
        </is>
      </c>
    </row>
    <row r="29">
      <c r="A29">
        <f>A5</f>
        <v/>
      </c>
      <c r="C29" s="16">
        <f>C18</f>
        <v/>
      </c>
      <c r="D29" s="16">
        <f>C29+D18</f>
        <v/>
      </c>
      <c r="E29" s="16">
        <f>D29+E18</f>
        <v/>
      </c>
      <c r="F29" s="16">
        <f>E29+F18</f>
        <v/>
      </c>
      <c r="G29" s="16">
        <f>F29+G18</f>
        <v/>
      </c>
      <c r="H29" s="16">
        <f>G29+H18</f>
        <v/>
      </c>
      <c r="I29" s="16">
        <f>H29+I18</f>
        <v/>
      </c>
      <c r="J29" s="16">
        <f>I29+J18</f>
        <v/>
      </c>
      <c r="K29" s="16">
        <f>J29+K18</f>
        <v/>
      </c>
      <c r="L29" s="16">
        <f>K29+L18</f>
        <v/>
      </c>
      <c r="M29" s="16">
        <f>L29+M18</f>
        <v/>
      </c>
      <c r="N29" s="16">
        <f>M29+N18</f>
        <v/>
      </c>
      <c r="O29" s="16">
        <f>N29+O18</f>
        <v/>
      </c>
      <c r="P29" s="16">
        <f>O29+P18</f>
        <v/>
      </c>
      <c r="Q29" s="16">
        <f>P29+Q18</f>
        <v/>
      </c>
      <c r="R29" s="16">
        <f>Q29+R18</f>
        <v/>
      </c>
      <c r="S29" s="16">
        <f>R29+S18</f>
        <v/>
      </c>
      <c r="T29" s="16">
        <f>S29+T18</f>
        <v/>
      </c>
      <c r="U29" s="16">
        <f>T29+U18</f>
        <v/>
      </c>
      <c r="V29" s="16">
        <f>U29+V18</f>
        <v/>
      </c>
    </row>
    <row r="30">
      <c r="A30">
        <f>A6</f>
        <v/>
      </c>
      <c r="C30" s="16">
        <f>C19</f>
        <v/>
      </c>
      <c r="D30" s="16">
        <f>C30+D19</f>
        <v/>
      </c>
      <c r="E30" s="16">
        <f>D30+E19</f>
        <v/>
      </c>
      <c r="F30" s="16">
        <f>E30+F19</f>
        <v/>
      </c>
      <c r="G30" s="16">
        <f>F30+G19</f>
        <v/>
      </c>
      <c r="H30" s="16">
        <f>G30+H19</f>
        <v/>
      </c>
      <c r="I30" s="16">
        <f>H30+I19</f>
        <v/>
      </c>
      <c r="J30" s="16">
        <f>I30+J19</f>
        <v/>
      </c>
      <c r="K30" s="16">
        <f>J30+K19</f>
        <v/>
      </c>
      <c r="L30" s="16">
        <f>K30+L19</f>
        <v/>
      </c>
      <c r="M30" s="16">
        <f>L30+M19</f>
        <v/>
      </c>
      <c r="N30" s="16">
        <f>M30+N19</f>
        <v/>
      </c>
      <c r="O30" s="16">
        <f>N30+O19</f>
        <v/>
      </c>
      <c r="P30" s="16">
        <f>O30+P19</f>
        <v/>
      </c>
      <c r="Q30" s="16">
        <f>P30+Q19</f>
        <v/>
      </c>
      <c r="R30" s="16">
        <f>Q30+R19</f>
        <v/>
      </c>
      <c r="S30" s="16">
        <f>R30+S19</f>
        <v/>
      </c>
      <c r="T30" s="16">
        <f>S30+T19</f>
        <v/>
      </c>
      <c r="U30" s="16">
        <f>T30+U19</f>
        <v/>
      </c>
      <c r="V30" s="16">
        <f>U30+V19</f>
        <v/>
      </c>
    </row>
    <row r="31">
      <c r="A31">
        <f>A7</f>
        <v/>
      </c>
      <c r="C31" s="16">
        <f>C20</f>
        <v/>
      </c>
      <c r="D31" s="16">
        <f>C31+D20</f>
        <v/>
      </c>
      <c r="E31" s="16">
        <f>D31+E20</f>
        <v/>
      </c>
      <c r="F31" s="16">
        <f>E31+F20</f>
        <v/>
      </c>
      <c r="G31" s="16">
        <f>F31+G20</f>
        <v/>
      </c>
      <c r="H31" s="16">
        <f>G31+H20</f>
        <v/>
      </c>
      <c r="I31" s="16">
        <f>H31+I20</f>
        <v/>
      </c>
      <c r="J31" s="16">
        <f>I31+J20</f>
        <v/>
      </c>
      <c r="K31" s="16">
        <f>J31+K20</f>
        <v/>
      </c>
      <c r="L31" s="16">
        <f>K31+L20</f>
        <v/>
      </c>
      <c r="M31" s="16">
        <f>L31+M20</f>
        <v/>
      </c>
      <c r="N31" s="16">
        <f>M31+N20</f>
        <v/>
      </c>
      <c r="O31" s="16">
        <f>N31+O20</f>
        <v/>
      </c>
      <c r="P31" s="16">
        <f>O31+P20</f>
        <v/>
      </c>
      <c r="Q31" s="16">
        <f>P31+Q20</f>
        <v/>
      </c>
      <c r="R31" s="16">
        <f>Q31+R20</f>
        <v/>
      </c>
      <c r="S31" s="16">
        <f>R31+S20</f>
        <v/>
      </c>
      <c r="T31" s="16">
        <f>S31+T20</f>
        <v/>
      </c>
      <c r="U31" s="16">
        <f>T31+U20</f>
        <v/>
      </c>
      <c r="V31" s="16">
        <f>U31+V20</f>
        <v/>
      </c>
    </row>
    <row r="32">
      <c r="A32">
        <f>A8</f>
        <v/>
      </c>
      <c r="C32" s="16">
        <f>C21</f>
        <v/>
      </c>
      <c r="D32" s="16">
        <f>C32+D21</f>
        <v/>
      </c>
      <c r="E32" s="16">
        <f>D32+E21</f>
        <v/>
      </c>
      <c r="F32" s="16">
        <f>E32+F21</f>
        <v/>
      </c>
      <c r="G32" s="16">
        <f>F32+G21</f>
        <v/>
      </c>
      <c r="H32" s="16">
        <f>G32+H21</f>
        <v/>
      </c>
      <c r="I32" s="16">
        <f>H32+I21</f>
        <v/>
      </c>
      <c r="J32" s="16">
        <f>I32+J21</f>
        <v/>
      </c>
      <c r="K32" s="16">
        <f>J32+K21</f>
        <v/>
      </c>
      <c r="L32" s="16">
        <f>K32+L21</f>
        <v/>
      </c>
      <c r="M32" s="16">
        <f>L32+M21</f>
        <v/>
      </c>
      <c r="N32" s="16">
        <f>M32+N21</f>
        <v/>
      </c>
      <c r="O32" s="16">
        <f>N32+O21</f>
        <v/>
      </c>
      <c r="P32" s="16">
        <f>O32+P21</f>
        <v/>
      </c>
      <c r="Q32" s="16">
        <f>P32+Q21</f>
        <v/>
      </c>
      <c r="R32" s="16">
        <f>Q32+R21</f>
        <v/>
      </c>
      <c r="S32" s="16">
        <f>R32+S21</f>
        <v/>
      </c>
      <c r="T32" s="16">
        <f>S32+T21</f>
        <v/>
      </c>
      <c r="U32" s="16">
        <f>T32+U21</f>
        <v/>
      </c>
      <c r="V32" s="16">
        <f>U32+V21</f>
        <v/>
      </c>
    </row>
    <row r="33">
      <c r="A33">
        <f>A9</f>
        <v/>
      </c>
      <c r="C33" s="16">
        <f>C22</f>
        <v/>
      </c>
      <c r="D33" s="16">
        <f>C33+D22</f>
        <v/>
      </c>
      <c r="E33" s="16">
        <f>D33+E22</f>
        <v/>
      </c>
      <c r="F33" s="16">
        <f>E33+F22</f>
        <v/>
      </c>
      <c r="G33" s="16">
        <f>F33+G22</f>
        <v/>
      </c>
      <c r="H33" s="16">
        <f>G33+H22</f>
        <v/>
      </c>
      <c r="I33" s="16">
        <f>H33+I22</f>
        <v/>
      </c>
      <c r="J33" s="16">
        <f>I33+J22</f>
        <v/>
      </c>
      <c r="K33" s="16">
        <f>J33+K22</f>
        <v/>
      </c>
      <c r="L33" s="16">
        <f>K33+L22</f>
        <v/>
      </c>
      <c r="M33" s="16">
        <f>L33+M22</f>
        <v/>
      </c>
      <c r="N33" s="16">
        <f>M33+N22</f>
        <v/>
      </c>
      <c r="O33" s="16">
        <f>N33+O22</f>
        <v/>
      </c>
      <c r="P33" s="16">
        <f>O33+P22</f>
        <v/>
      </c>
      <c r="Q33" s="16">
        <f>P33+Q22</f>
        <v/>
      </c>
      <c r="R33" s="16">
        <f>Q33+R22</f>
        <v/>
      </c>
      <c r="S33" s="16">
        <f>R33+S22</f>
        <v/>
      </c>
      <c r="T33" s="16">
        <f>S33+T22</f>
        <v/>
      </c>
      <c r="U33" s="16">
        <f>T33+U22</f>
        <v/>
      </c>
      <c r="V33" s="16">
        <f>U33+V22</f>
        <v/>
      </c>
    </row>
    <row r="34">
      <c r="A34">
        <f>A10</f>
        <v/>
      </c>
      <c r="C34" s="16">
        <f>C23</f>
        <v/>
      </c>
      <c r="D34" s="16">
        <f>C34+D23</f>
        <v/>
      </c>
      <c r="E34" s="16">
        <f>D34+E23</f>
        <v/>
      </c>
      <c r="F34" s="16">
        <f>E34+F23</f>
        <v/>
      </c>
      <c r="G34" s="16">
        <f>F34+G23</f>
        <v/>
      </c>
      <c r="H34" s="16">
        <f>G34+H23</f>
        <v/>
      </c>
      <c r="I34" s="16">
        <f>H34+I23</f>
        <v/>
      </c>
      <c r="J34" s="16">
        <f>I34+J23</f>
        <v/>
      </c>
      <c r="K34" s="16">
        <f>J34+K23</f>
        <v/>
      </c>
      <c r="L34" s="16">
        <f>K34+L23</f>
        <v/>
      </c>
      <c r="M34" s="16">
        <f>L34+M23</f>
        <v/>
      </c>
      <c r="N34" s="16">
        <f>M34+N23</f>
        <v/>
      </c>
      <c r="O34" s="16">
        <f>N34+O23</f>
        <v/>
      </c>
      <c r="P34" s="16">
        <f>O34+P23</f>
        <v/>
      </c>
      <c r="Q34" s="16">
        <f>P34+Q23</f>
        <v/>
      </c>
      <c r="R34" s="16">
        <f>Q34+R23</f>
        <v/>
      </c>
      <c r="S34" s="16">
        <f>R34+S23</f>
        <v/>
      </c>
      <c r="T34" s="16">
        <f>S34+T23</f>
        <v/>
      </c>
      <c r="U34" s="16">
        <f>T34+U23</f>
        <v/>
      </c>
      <c r="V34" s="16">
        <f>U34+V23</f>
        <v/>
      </c>
    </row>
    <row r="35">
      <c r="A35">
        <f>A11</f>
        <v/>
      </c>
      <c r="C35" s="16">
        <f>C24</f>
        <v/>
      </c>
      <c r="D35" s="16">
        <f>C35+D24</f>
        <v/>
      </c>
      <c r="E35" s="16">
        <f>D35+E24</f>
        <v/>
      </c>
      <c r="F35" s="16">
        <f>E35+F24</f>
        <v/>
      </c>
      <c r="G35" s="16">
        <f>F35+G24</f>
        <v/>
      </c>
      <c r="H35" s="16">
        <f>G35+H24</f>
        <v/>
      </c>
      <c r="I35" s="16">
        <f>H35+I24</f>
        <v/>
      </c>
      <c r="J35" s="16">
        <f>I35+J24</f>
        <v/>
      </c>
      <c r="K35" s="16">
        <f>J35+K24</f>
        <v/>
      </c>
      <c r="L35" s="16">
        <f>K35+L24</f>
        <v/>
      </c>
      <c r="M35" s="16">
        <f>L35+M24</f>
        <v/>
      </c>
      <c r="N35" s="16">
        <f>M35+N24</f>
        <v/>
      </c>
      <c r="O35" s="16">
        <f>N35+O24</f>
        <v/>
      </c>
      <c r="P35" s="16">
        <f>O35+P24</f>
        <v/>
      </c>
      <c r="Q35" s="16">
        <f>P35+Q24</f>
        <v/>
      </c>
      <c r="R35" s="16">
        <f>Q35+R24</f>
        <v/>
      </c>
      <c r="S35" s="16">
        <f>R35+S24</f>
        <v/>
      </c>
      <c r="T35" s="16">
        <f>S35+T24</f>
        <v/>
      </c>
      <c r="U35" s="16">
        <f>T35+U24</f>
        <v/>
      </c>
      <c r="V35" s="16">
        <f>U35+V24</f>
        <v/>
      </c>
    </row>
    <row r="36">
      <c r="A36">
        <f>A12</f>
        <v/>
      </c>
      <c r="C36" s="16">
        <f>C25</f>
        <v/>
      </c>
      <c r="D36" s="16">
        <f>C36+D25</f>
        <v/>
      </c>
      <c r="E36" s="16">
        <f>D36+E25</f>
        <v/>
      </c>
      <c r="F36" s="16">
        <f>E36+F25</f>
        <v/>
      </c>
      <c r="G36" s="16">
        <f>F36+G25</f>
        <v/>
      </c>
      <c r="H36" s="16">
        <f>G36+H25</f>
        <v/>
      </c>
      <c r="I36" s="16">
        <f>H36+I25</f>
        <v/>
      </c>
      <c r="J36" s="16">
        <f>I36+J25</f>
        <v/>
      </c>
      <c r="K36" s="16">
        <f>J36+K25</f>
        <v/>
      </c>
      <c r="L36" s="16">
        <f>K36+L25</f>
        <v/>
      </c>
      <c r="M36" s="16">
        <f>L36+M25</f>
        <v/>
      </c>
      <c r="N36" s="16">
        <f>M36+N25</f>
        <v/>
      </c>
      <c r="O36" s="16">
        <f>N36+O25</f>
        <v/>
      </c>
      <c r="P36" s="16">
        <f>O36+P25</f>
        <v/>
      </c>
      <c r="Q36" s="16">
        <f>P36+Q25</f>
        <v/>
      </c>
      <c r="R36" s="16">
        <f>Q36+R25</f>
        <v/>
      </c>
      <c r="S36" s="16">
        <f>R36+S25</f>
        <v/>
      </c>
      <c r="T36" s="16">
        <f>S36+T25</f>
        <v/>
      </c>
      <c r="U36" s="16">
        <f>T36+U25</f>
        <v/>
      </c>
      <c r="V36" s="16">
        <f>U36+V25</f>
        <v/>
      </c>
    </row>
  </sheetData>
  <conditionalFormatting sqref="T5:T12">
    <cfRule type="cellIs" priority="1" operator="lessThan" dxfId="0">
      <formula>0</formula>
    </cfRule>
  </conditionalFormatting>
  <conditionalFormatting sqref="M5:M12">
    <cfRule type="cellIs" priority="2" operator="greater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Operating company plans: volume x price build</t>
        </is>
      </c>
    </row>
    <row r="2">
      <c r="C2" s="15" t="n">
        <v>2025</v>
      </c>
      <c r="D2" s="15" t="n">
        <v>2026</v>
      </c>
      <c r="E2" s="15" t="n">
        <v>2027</v>
      </c>
      <c r="F2" s="15" t="n">
        <v>2028</v>
      </c>
      <c r="G2" s="15" t="n">
        <v>2029</v>
      </c>
      <c r="H2" s="15" t="n">
        <v>2030</v>
      </c>
      <c r="I2" s="15" t="n">
        <v>2031</v>
      </c>
    </row>
    <row r="3">
      <c r="A3" s="9" t="inlineStr">
        <is>
          <t>$ millions</t>
        </is>
      </c>
      <c r="B3" s="9" t="inlineStr"/>
      <c r="C3" s="9" t="inlineStr">
        <is>
          <t>FY2025A</t>
        </is>
      </c>
      <c r="D3" s="9" t="inlineStr">
        <is>
          <t>FY2026F (9+3)</t>
        </is>
      </c>
      <c r="E3" s="9" t="inlineStr">
        <is>
          <t>FY2027 Budget</t>
        </is>
      </c>
      <c r="F3" s="9" t="inlineStr">
        <is>
          <t>FY2028 Plan</t>
        </is>
      </c>
      <c r="G3" s="9" t="inlineStr">
        <is>
          <t>FY2029 Plan</t>
        </is>
      </c>
      <c r="H3" s="9" t="inlineStr">
        <is>
          <t>FY2030 Plan</t>
        </is>
      </c>
      <c r="I3" s="9" t="inlineStr">
        <is>
          <t>FY2031 Plan</t>
        </is>
      </c>
    </row>
    <row r="4">
      <c r="A4" s="19" t="inlineStr">
        <is>
          <t>Aggregates (driver: TLHWYCONS, volume in million tons)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</row>
    <row r="5">
      <c r="A5" t="inlineStr">
        <is>
          <t>Macro driver growth</t>
        </is>
      </c>
      <c r="D5" s="13">
        <f>Macro!D$18</f>
        <v/>
      </c>
      <c r="E5" s="13">
        <f>Macro!E$18</f>
        <v/>
      </c>
      <c r="F5" s="13">
        <f>Macro!F$18</f>
        <v/>
      </c>
      <c r="G5" s="13">
        <f>Macro!G$18</f>
        <v/>
      </c>
      <c r="H5" s="13">
        <f>Macro!H$18</f>
        <v/>
      </c>
      <c r="I5" s="13">
        <f>Macro!I$18</f>
        <v/>
      </c>
    </row>
    <row r="6">
      <c r="A6" t="inlineStr">
        <is>
          <t>Volume growth</t>
        </is>
      </c>
      <c r="D6" s="13">
        <f>Inputs!$E$20+Inputs!$D$20*D5+Inputs!D$39</f>
        <v/>
      </c>
      <c r="E6" s="13">
        <f>Inputs!$E$20+Inputs!$D$20*E5+Inputs!E$39</f>
        <v/>
      </c>
      <c r="F6" s="13">
        <f>Inputs!$E$20+Inputs!$D$20*F5+Inputs!F$39</f>
        <v/>
      </c>
      <c r="G6" s="13">
        <f>Inputs!$E$20+Inputs!$D$20*G5+Inputs!G$39</f>
        <v/>
      </c>
      <c r="H6" s="13">
        <f>Inputs!$E$20+Inputs!$D$20*H5+Inputs!H$39</f>
        <v/>
      </c>
      <c r="I6" s="13">
        <f>Inputs!$E$20+Inputs!$D$20*I5+Inputs!I$39</f>
        <v/>
      </c>
    </row>
    <row r="7">
      <c r="A7" t="inlineStr">
        <is>
          <t>Volume (M units)</t>
        </is>
      </c>
      <c r="C7" s="21">
        <f>Inputs!$F$20</f>
        <v/>
      </c>
      <c r="D7" s="21">
        <f>C7*(1+D6)</f>
        <v/>
      </c>
      <c r="E7" s="21">
        <f>D7*(1+E6)</f>
        <v/>
      </c>
      <c r="F7" s="21">
        <f>E7*(1+F6)</f>
        <v/>
      </c>
      <c r="G7" s="21">
        <f>F7*(1+G6)</f>
        <v/>
      </c>
      <c r="H7" s="21">
        <f>G7*(1+H6)</f>
        <v/>
      </c>
      <c r="I7" s="21">
        <f>H7*(1+I6)</f>
        <v/>
      </c>
    </row>
    <row r="8">
      <c r="A8" t="inlineStr">
        <is>
          <t>Price growth</t>
        </is>
      </c>
      <c r="D8" s="13">
        <f>Inputs!D$28+Inputs!D$45</f>
        <v/>
      </c>
      <c r="E8" s="13">
        <f>Inputs!E$28+Inputs!E$45</f>
        <v/>
      </c>
      <c r="F8" s="13">
        <f>Inputs!F$28+Inputs!F$45</f>
        <v/>
      </c>
      <c r="G8" s="13">
        <f>Inputs!G$28+Inputs!G$45</f>
        <v/>
      </c>
      <c r="H8" s="13">
        <f>Inputs!H$28+Inputs!H$45</f>
        <v/>
      </c>
      <c r="I8" s="13">
        <f>Inputs!I$28+Inputs!I$45</f>
        <v/>
      </c>
    </row>
    <row r="9">
      <c r="A9" t="inlineStr">
        <is>
          <t>Price per unit ($)</t>
        </is>
      </c>
      <c r="C9" s="21">
        <f>Inputs!$G$20</f>
        <v/>
      </c>
      <c r="D9" s="21">
        <f>C9*(1+D8)</f>
        <v/>
      </c>
      <c r="E9" s="21">
        <f>D9*(1+E8)</f>
        <v/>
      </c>
      <c r="F9" s="21">
        <f>E9*(1+F8)</f>
        <v/>
      </c>
      <c r="G9" s="21">
        <f>F9*(1+G8)</f>
        <v/>
      </c>
      <c r="H9" s="21">
        <f>G9*(1+H8)</f>
        <v/>
      </c>
      <c r="I9" s="21">
        <f>H9*(1+I8)</f>
        <v/>
      </c>
    </row>
    <row r="10">
      <c r="A10" s="3" t="inlineStr">
        <is>
          <t>Revenue</t>
        </is>
      </c>
      <c r="C10" s="16">
        <f>C7*C9</f>
        <v/>
      </c>
      <c r="D10" s="16">
        <f>D7*D9</f>
        <v/>
      </c>
      <c r="E10" s="16">
        <f>E7*E9</f>
        <v/>
      </c>
      <c r="F10" s="16">
        <f>F7*F9</f>
        <v/>
      </c>
      <c r="G10" s="16">
        <f>G7*G9</f>
        <v/>
      </c>
      <c r="H10" s="16">
        <f>H7*H9</f>
        <v/>
      </c>
      <c r="I10" s="16">
        <f>I7*I9</f>
        <v/>
      </c>
    </row>
    <row r="11">
      <c r="A11" t="inlineStr">
        <is>
          <t>Variable cost per unit ($)</t>
        </is>
      </c>
      <c r="C11" s="21">
        <f>Inputs!$H$20</f>
        <v/>
      </c>
      <c r="D11" s="21">
        <f>C11*(1+Inputs!$J$20)</f>
        <v/>
      </c>
      <c r="E11" s="21">
        <f>D11*(1+Inputs!$J$20)</f>
        <v/>
      </c>
      <c r="F11" s="21">
        <f>E11*(1+Inputs!$J$20)</f>
        <v/>
      </c>
      <c r="G11" s="21">
        <f>F11*(1+Inputs!$J$20)</f>
        <v/>
      </c>
      <c r="H11" s="21">
        <f>G11*(1+Inputs!$J$20)</f>
        <v/>
      </c>
      <c r="I11" s="21">
        <f>H11*(1+Inputs!$J$20)</f>
        <v/>
      </c>
    </row>
    <row r="12">
      <c r="A12" t="inlineStr">
        <is>
          <t>Variable costs</t>
        </is>
      </c>
      <c r="C12" s="16">
        <f>C7*C11</f>
        <v/>
      </c>
      <c r="D12" s="16">
        <f>D7*D11</f>
        <v/>
      </c>
      <c r="E12" s="16">
        <f>E7*E11</f>
        <v/>
      </c>
      <c r="F12" s="16">
        <f>F7*F11</f>
        <v/>
      </c>
      <c r="G12" s="16">
        <f>G7*G11</f>
        <v/>
      </c>
      <c r="H12" s="16">
        <f>H7*H11</f>
        <v/>
      </c>
      <c r="I12" s="16">
        <f>I7*I11</f>
        <v/>
      </c>
    </row>
    <row r="13">
      <c r="A13" t="inlineStr">
        <is>
          <t>Fixed costs</t>
        </is>
      </c>
      <c r="C13" s="16">
        <f>Inputs!$I$20</f>
        <v/>
      </c>
      <c r="D13" s="16">
        <f>C13*(1+Inputs!$K$20)</f>
        <v/>
      </c>
      <c r="E13" s="16">
        <f>D13*(1+Inputs!$K$20)</f>
        <v/>
      </c>
      <c r="F13" s="16">
        <f>E13*(1+Inputs!$K$20)</f>
        <v/>
      </c>
      <c r="G13" s="16">
        <f>F13*(1+Inputs!$K$20)</f>
        <v/>
      </c>
      <c r="H13" s="16">
        <f>G13*(1+Inputs!$K$20)</f>
        <v/>
      </c>
      <c r="I13" s="16">
        <f>H13*(1+Inputs!$K$20)</f>
        <v/>
      </c>
    </row>
    <row r="14">
      <c r="A14" t="inlineStr">
        <is>
          <t>Growth project EBITDA</t>
        </is>
      </c>
      <c r="C14" s="16">
        <f>SUMIFS(Projects!$S$5:$S$12,Projects!$B$5:$B$12,"Aggregates",Projects!$R$5:$R$12,"&lt;="&amp;C$2)</f>
        <v/>
      </c>
      <c r="D14" s="16">
        <f>SUMIFS(Projects!$S$5:$S$12,Projects!$B$5:$B$12,"Aggregates",Projects!$R$5:$R$12,"&lt;="&amp;D$2)</f>
        <v/>
      </c>
      <c r="E14" s="16">
        <f>SUMIFS(Projects!$S$5:$S$12,Projects!$B$5:$B$12,"Aggregates",Projects!$R$5:$R$12,"&lt;="&amp;E$2)</f>
        <v/>
      </c>
      <c r="F14" s="16">
        <f>SUMIFS(Projects!$S$5:$S$12,Projects!$B$5:$B$12,"Aggregates",Projects!$R$5:$R$12,"&lt;="&amp;F$2)</f>
        <v/>
      </c>
      <c r="G14" s="16">
        <f>SUMIFS(Projects!$S$5:$S$12,Projects!$B$5:$B$12,"Aggregates",Projects!$R$5:$R$12,"&lt;="&amp;G$2)</f>
        <v/>
      </c>
      <c r="H14" s="16">
        <f>SUMIFS(Projects!$S$5:$S$12,Projects!$B$5:$B$12,"Aggregates",Projects!$R$5:$R$12,"&lt;="&amp;H$2)</f>
        <v/>
      </c>
      <c r="I14" s="16">
        <f>SUMIFS(Projects!$S$5:$S$12,Projects!$B$5:$B$12,"Aggregates",Projects!$R$5:$R$12,"&lt;="&amp;I$2)</f>
        <v/>
      </c>
    </row>
    <row r="15">
      <c r="A15" s="3" t="inlineStr">
        <is>
          <t>EBITDA</t>
        </is>
      </c>
      <c r="C15" s="22">
        <f>C10-C12-C13+C14</f>
        <v/>
      </c>
      <c r="D15" s="22">
        <f>D10-D12-D13+D14</f>
        <v/>
      </c>
      <c r="E15" s="22">
        <f>E10-E12-E13+E14</f>
        <v/>
      </c>
      <c r="F15" s="22">
        <f>F10-F12-F13+F14</f>
        <v/>
      </c>
      <c r="G15" s="22">
        <f>G10-G12-G13+G14</f>
        <v/>
      </c>
      <c r="H15" s="22">
        <f>H10-H12-H13+H14</f>
        <v/>
      </c>
      <c r="I15" s="22">
        <f>I10-I12-I13+I14</f>
        <v/>
      </c>
    </row>
    <row r="16">
      <c r="A16" t="inlineStr">
        <is>
          <t>EBITDA margin</t>
        </is>
      </c>
      <c r="C16" s="13">
        <f>C15/C10</f>
        <v/>
      </c>
      <c r="D16" s="13">
        <f>D15/D10</f>
        <v/>
      </c>
      <c r="E16" s="13">
        <f>E15/E10</f>
        <v/>
      </c>
      <c r="F16" s="13">
        <f>F15/F10</f>
        <v/>
      </c>
      <c r="G16" s="13">
        <f>G15/G10</f>
        <v/>
      </c>
      <c r="H16" s="13">
        <f>H15/H10</f>
        <v/>
      </c>
      <c r="I16" s="13">
        <f>I15/I10</f>
        <v/>
      </c>
    </row>
    <row r="17">
      <c r="A17" t="inlineStr">
        <is>
          <t>Maintenance capex</t>
        </is>
      </c>
      <c r="D17" s="16">
        <f>Inputs!$L$20*D10</f>
        <v/>
      </c>
      <c r="E17" s="16">
        <f>Inputs!$L$20*E10</f>
        <v/>
      </c>
      <c r="F17" s="16">
        <f>Inputs!$L$20*F10</f>
        <v/>
      </c>
      <c r="G17" s="16">
        <f>Inputs!$L$20*G10</f>
        <v/>
      </c>
      <c r="H17" s="16">
        <f>Inputs!$L$20*H10</f>
        <v/>
      </c>
      <c r="I17" s="16">
        <f>Inputs!$L$20*I10</f>
        <v/>
      </c>
    </row>
    <row r="18">
      <c r="A18" t="inlineStr">
        <is>
          <t>Growth capex</t>
        </is>
      </c>
      <c r="D18" s="16">
        <f>SUMIF(Projects!$B$5:$B$12,"Aggregates",Projects!$F$5:$F$12)</f>
        <v/>
      </c>
      <c r="E18" s="16">
        <f>SUMIF(Projects!$B$5:$B$12,"Aggregates",Projects!$G$5:$G$12)</f>
        <v/>
      </c>
      <c r="F18" s="16">
        <f>SUMIF(Projects!$B$5:$B$12,"Aggregates",Projects!$H$5:$H$12)</f>
        <v/>
      </c>
      <c r="G18" s="16">
        <f>SUMIF(Projects!$B$5:$B$12,"Aggregates",Projects!$I$5:$I$12)</f>
        <v/>
      </c>
      <c r="H18" s="16">
        <f>SUMIF(Projects!$B$5:$B$12,"Aggregates",Projects!$J$5:$J$12)</f>
        <v/>
      </c>
      <c r="I18" s="16">
        <f>SUMIF(Projects!$B$5:$B$12,"Aggregates",Projects!$K$5:$K$12)</f>
        <v/>
      </c>
    </row>
    <row r="19">
      <c r="A19" s="3" t="inlineStr">
        <is>
          <t>Total capex</t>
        </is>
      </c>
      <c r="C19" s="16">
        <f>Inputs!$M$20</f>
        <v/>
      </c>
      <c r="D19" s="16">
        <f>D17+D18</f>
        <v/>
      </c>
      <c r="E19" s="16">
        <f>E17+E18</f>
        <v/>
      </c>
      <c r="F19" s="16">
        <f>F17+F18</f>
        <v/>
      </c>
      <c r="G19" s="16">
        <f>G17+G18</f>
        <v/>
      </c>
      <c r="H19" s="16">
        <f>H17+H18</f>
        <v/>
      </c>
      <c r="I19" s="16">
        <f>I17+I18</f>
        <v/>
      </c>
    </row>
    <row r="21">
      <c r="A21" s="19" t="inlineStr">
        <is>
          <t>Cement (driver: TTLCONS, volume in million tons)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</row>
    <row r="22">
      <c r="A22" t="inlineStr">
        <is>
          <t>Macro driver growth</t>
        </is>
      </c>
      <c r="D22" s="13">
        <f>Macro!D$17</f>
        <v/>
      </c>
      <c r="E22" s="13">
        <f>Macro!E$17</f>
        <v/>
      </c>
      <c r="F22" s="13">
        <f>Macro!F$17</f>
        <v/>
      </c>
      <c r="G22" s="13">
        <f>Macro!G$17</f>
        <v/>
      </c>
      <c r="H22" s="13">
        <f>Macro!H$17</f>
        <v/>
      </c>
      <c r="I22" s="13">
        <f>Macro!I$17</f>
        <v/>
      </c>
    </row>
    <row r="23">
      <c r="A23" t="inlineStr">
        <is>
          <t>Volume growth</t>
        </is>
      </c>
      <c r="D23" s="13">
        <f>Inputs!$E$21+Inputs!$D$21*D22+Inputs!D$39</f>
        <v/>
      </c>
      <c r="E23" s="13">
        <f>Inputs!$E$21+Inputs!$D$21*E22+Inputs!E$39</f>
        <v/>
      </c>
      <c r="F23" s="13">
        <f>Inputs!$E$21+Inputs!$D$21*F22+Inputs!F$39</f>
        <v/>
      </c>
      <c r="G23" s="13">
        <f>Inputs!$E$21+Inputs!$D$21*G22+Inputs!G$39</f>
        <v/>
      </c>
      <c r="H23" s="13">
        <f>Inputs!$E$21+Inputs!$D$21*H22+Inputs!H$39</f>
        <v/>
      </c>
      <c r="I23" s="13">
        <f>Inputs!$E$21+Inputs!$D$21*I22+Inputs!I$39</f>
        <v/>
      </c>
    </row>
    <row r="24">
      <c r="A24" t="inlineStr">
        <is>
          <t>Volume (M units)</t>
        </is>
      </c>
      <c r="C24" s="21">
        <f>Inputs!$F$21</f>
        <v/>
      </c>
      <c r="D24" s="21">
        <f>C24*(1+D23)</f>
        <v/>
      </c>
      <c r="E24" s="21">
        <f>D24*(1+E23)</f>
        <v/>
      </c>
      <c r="F24" s="21">
        <f>E24*(1+F23)</f>
        <v/>
      </c>
      <c r="G24" s="21">
        <f>F24*(1+G23)</f>
        <v/>
      </c>
      <c r="H24" s="21">
        <f>G24*(1+H23)</f>
        <v/>
      </c>
      <c r="I24" s="21">
        <f>H24*(1+I23)</f>
        <v/>
      </c>
    </row>
    <row r="25">
      <c r="A25" t="inlineStr">
        <is>
          <t>Price growth</t>
        </is>
      </c>
      <c r="D25" s="13">
        <f>Inputs!D$29+Inputs!D$45</f>
        <v/>
      </c>
      <c r="E25" s="13">
        <f>Inputs!E$29+Inputs!E$45</f>
        <v/>
      </c>
      <c r="F25" s="13">
        <f>Inputs!F$29+Inputs!F$45</f>
        <v/>
      </c>
      <c r="G25" s="13">
        <f>Inputs!G$29+Inputs!G$45</f>
        <v/>
      </c>
      <c r="H25" s="13">
        <f>Inputs!H$29+Inputs!H$45</f>
        <v/>
      </c>
      <c r="I25" s="13">
        <f>Inputs!I$29+Inputs!I$45</f>
        <v/>
      </c>
    </row>
    <row r="26">
      <c r="A26" t="inlineStr">
        <is>
          <t>Price per unit ($)</t>
        </is>
      </c>
      <c r="C26" s="21">
        <f>Inputs!$G$21</f>
        <v/>
      </c>
      <c r="D26" s="21">
        <f>C26*(1+D25)</f>
        <v/>
      </c>
      <c r="E26" s="21">
        <f>D26*(1+E25)</f>
        <v/>
      </c>
      <c r="F26" s="21">
        <f>E26*(1+F25)</f>
        <v/>
      </c>
      <c r="G26" s="21">
        <f>F26*(1+G25)</f>
        <v/>
      </c>
      <c r="H26" s="21">
        <f>G26*(1+H25)</f>
        <v/>
      </c>
      <c r="I26" s="21">
        <f>H26*(1+I25)</f>
        <v/>
      </c>
    </row>
    <row r="27">
      <c r="A27" s="3" t="inlineStr">
        <is>
          <t>Revenue</t>
        </is>
      </c>
      <c r="C27" s="16">
        <f>C24*C26</f>
        <v/>
      </c>
      <c r="D27" s="16">
        <f>D24*D26</f>
        <v/>
      </c>
      <c r="E27" s="16">
        <f>E24*E26</f>
        <v/>
      </c>
      <c r="F27" s="16">
        <f>F24*F26</f>
        <v/>
      </c>
      <c r="G27" s="16">
        <f>G24*G26</f>
        <v/>
      </c>
      <c r="H27" s="16">
        <f>H24*H26</f>
        <v/>
      </c>
      <c r="I27" s="16">
        <f>I24*I26</f>
        <v/>
      </c>
    </row>
    <row r="28">
      <c r="A28" t="inlineStr">
        <is>
          <t>Variable cost per unit ($)</t>
        </is>
      </c>
      <c r="C28" s="21">
        <f>Inputs!$H$21</f>
        <v/>
      </c>
      <c r="D28" s="21">
        <f>C28*(1+Inputs!$J$21)</f>
        <v/>
      </c>
      <c r="E28" s="21">
        <f>D28*(1+Inputs!$J$21)</f>
        <v/>
      </c>
      <c r="F28" s="21">
        <f>E28*(1+Inputs!$J$21)</f>
        <v/>
      </c>
      <c r="G28" s="21">
        <f>F28*(1+Inputs!$J$21)</f>
        <v/>
      </c>
      <c r="H28" s="21">
        <f>G28*(1+Inputs!$J$21)</f>
        <v/>
      </c>
      <c r="I28" s="21">
        <f>H28*(1+Inputs!$J$21)</f>
        <v/>
      </c>
    </row>
    <row r="29">
      <c r="A29" t="inlineStr">
        <is>
          <t>Variable costs</t>
        </is>
      </c>
      <c r="C29" s="16">
        <f>C24*C28</f>
        <v/>
      </c>
      <c r="D29" s="16">
        <f>D24*D28</f>
        <v/>
      </c>
      <c r="E29" s="16">
        <f>E24*E28</f>
        <v/>
      </c>
      <c r="F29" s="16">
        <f>F24*F28</f>
        <v/>
      </c>
      <c r="G29" s="16">
        <f>G24*G28</f>
        <v/>
      </c>
      <c r="H29" s="16">
        <f>H24*H28</f>
        <v/>
      </c>
      <c r="I29" s="16">
        <f>I24*I28</f>
        <v/>
      </c>
    </row>
    <row r="30">
      <c r="A30" t="inlineStr">
        <is>
          <t>Fixed costs</t>
        </is>
      </c>
      <c r="C30" s="16">
        <f>Inputs!$I$21</f>
        <v/>
      </c>
      <c r="D30" s="16">
        <f>C30*(1+Inputs!$K$21)</f>
        <v/>
      </c>
      <c r="E30" s="16">
        <f>D30*(1+Inputs!$K$21)</f>
        <v/>
      </c>
      <c r="F30" s="16">
        <f>E30*(1+Inputs!$K$21)</f>
        <v/>
      </c>
      <c r="G30" s="16">
        <f>F30*(1+Inputs!$K$21)</f>
        <v/>
      </c>
      <c r="H30" s="16">
        <f>G30*(1+Inputs!$K$21)</f>
        <v/>
      </c>
      <c r="I30" s="16">
        <f>H30*(1+Inputs!$K$21)</f>
        <v/>
      </c>
    </row>
    <row r="31">
      <c r="A31" t="inlineStr">
        <is>
          <t>Growth project EBITDA</t>
        </is>
      </c>
      <c r="C31" s="16">
        <f>SUMIFS(Projects!$S$5:$S$12,Projects!$B$5:$B$12,"Cement",Projects!$R$5:$R$12,"&lt;="&amp;C$2)</f>
        <v/>
      </c>
      <c r="D31" s="16">
        <f>SUMIFS(Projects!$S$5:$S$12,Projects!$B$5:$B$12,"Cement",Projects!$R$5:$R$12,"&lt;="&amp;D$2)</f>
        <v/>
      </c>
      <c r="E31" s="16">
        <f>SUMIFS(Projects!$S$5:$S$12,Projects!$B$5:$B$12,"Cement",Projects!$R$5:$R$12,"&lt;="&amp;E$2)</f>
        <v/>
      </c>
      <c r="F31" s="16">
        <f>SUMIFS(Projects!$S$5:$S$12,Projects!$B$5:$B$12,"Cement",Projects!$R$5:$R$12,"&lt;="&amp;F$2)</f>
        <v/>
      </c>
      <c r="G31" s="16">
        <f>SUMIFS(Projects!$S$5:$S$12,Projects!$B$5:$B$12,"Cement",Projects!$R$5:$R$12,"&lt;="&amp;G$2)</f>
        <v/>
      </c>
      <c r="H31" s="16">
        <f>SUMIFS(Projects!$S$5:$S$12,Projects!$B$5:$B$12,"Cement",Projects!$R$5:$R$12,"&lt;="&amp;H$2)</f>
        <v/>
      </c>
      <c r="I31" s="16">
        <f>SUMIFS(Projects!$S$5:$S$12,Projects!$B$5:$B$12,"Cement",Projects!$R$5:$R$12,"&lt;="&amp;I$2)</f>
        <v/>
      </c>
    </row>
    <row r="32">
      <c r="A32" s="3" t="inlineStr">
        <is>
          <t>EBITDA</t>
        </is>
      </c>
      <c r="C32" s="22">
        <f>C27-C29-C30+C31</f>
        <v/>
      </c>
      <c r="D32" s="22">
        <f>D27-D29-D30+D31</f>
        <v/>
      </c>
      <c r="E32" s="22">
        <f>E27-E29-E30+E31</f>
        <v/>
      </c>
      <c r="F32" s="22">
        <f>F27-F29-F30+F31</f>
        <v/>
      </c>
      <c r="G32" s="22">
        <f>G27-G29-G30+G31</f>
        <v/>
      </c>
      <c r="H32" s="22">
        <f>H27-H29-H30+H31</f>
        <v/>
      </c>
      <c r="I32" s="22">
        <f>I27-I29-I30+I31</f>
        <v/>
      </c>
    </row>
    <row r="33">
      <c r="A33" t="inlineStr">
        <is>
          <t>EBITDA margin</t>
        </is>
      </c>
      <c r="C33" s="13">
        <f>C32/C27</f>
        <v/>
      </c>
      <c r="D33" s="13">
        <f>D32/D27</f>
        <v/>
      </c>
      <c r="E33" s="13">
        <f>E32/E27</f>
        <v/>
      </c>
      <c r="F33" s="13">
        <f>F32/F27</f>
        <v/>
      </c>
      <c r="G33" s="13">
        <f>G32/G27</f>
        <v/>
      </c>
      <c r="H33" s="13">
        <f>H32/H27</f>
        <v/>
      </c>
      <c r="I33" s="13">
        <f>I32/I27</f>
        <v/>
      </c>
    </row>
    <row r="34">
      <c r="A34" t="inlineStr">
        <is>
          <t>Maintenance capex</t>
        </is>
      </c>
      <c r="D34" s="16">
        <f>Inputs!$L$21*D27</f>
        <v/>
      </c>
      <c r="E34" s="16">
        <f>Inputs!$L$21*E27</f>
        <v/>
      </c>
      <c r="F34" s="16">
        <f>Inputs!$L$21*F27</f>
        <v/>
      </c>
      <c r="G34" s="16">
        <f>Inputs!$L$21*G27</f>
        <v/>
      </c>
      <c r="H34" s="16">
        <f>Inputs!$L$21*H27</f>
        <v/>
      </c>
      <c r="I34" s="16">
        <f>Inputs!$L$21*I27</f>
        <v/>
      </c>
    </row>
    <row r="35">
      <c r="A35" t="inlineStr">
        <is>
          <t>Growth capex</t>
        </is>
      </c>
      <c r="D35" s="16">
        <f>SUMIF(Projects!$B$5:$B$12,"Cement",Projects!$F$5:$F$12)</f>
        <v/>
      </c>
      <c r="E35" s="16">
        <f>SUMIF(Projects!$B$5:$B$12,"Cement",Projects!$G$5:$G$12)</f>
        <v/>
      </c>
      <c r="F35" s="16">
        <f>SUMIF(Projects!$B$5:$B$12,"Cement",Projects!$H$5:$H$12)</f>
        <v/>
      </c>
      <c r="G35" s="16">
        <f>SUMIF(Projects!$B$5:$B$12,"Cement",Projects!$I$5:$I$12)</f>
        <v/>
      </c>
      <c r="H35" s="16">
        <f>SUMIF(Projects!$B$5:$B$12,"Cement",Projects!$J$5:$J$12)</f>
        <v/>
      </c>
      <c r="I35" s="16">
        <f>SUMIF(Projects!$B$5:$B$12,"Cement",Projects!$K$5:$K$12)</f>
        <v/>
      </c>
    </row>
    <row r="36">
      <c r="A36" s="3" t="inlineStr">
        <is>
          <t>Total capex</t>
        </is>
      </c>
      <c r="C36" s="16">
        <f>Inputs!$M$21</f>
        <v/>
      </c>
      <c r="D36" s="16">
        <f>D34+D35</f>
        <v/>
      </c>
      <c r="E36" s="16">
        <f>E34+E35</f>
        <v/>
      </c>
      <c r="F36" s="16">
        <f>F34+F35</f>
        <v/>
      </c>
      <c r="G36" s="16">
        <f>G34+G35</f>
        <v/>
      </c>
      <c r="H36" s="16">
        <f>H34+H35</f>
        <v/>
      </c>
      <c r="I36" s="16">
        <f>I34+I35</f>
        <v/>
      </c>
    </row>
    <row r="38">
      <c r="A38" s="19" t="inlineStr">
        <is>
          <t>Ready-Mix Concrete (driver: HOUST, volume in million cubic yards)</t>
        </is>
      </c>
      <c r="B38" s="20" t="n"/>
      <c r="C38" s="20" t="n"/>
      <c r="D38" s="20" t="n"/>
      <c r="E38" s="20" t="n"/>
      <c r="F38" s="20" t="n"/>
      <c r="G38" s="20" t="n"/>
      <c r="H38" s="20" t="n"/>
      <c r="I38" s="20" t="n"/>
    </row>
    <row r="39">
      <c r="A39" t="inlineStr">
        <is>
          <t>Macro driver growth</t>
        </is>
      </c>
      <c r="D39" s="13">
        <f>Macro!D$16</f>
        <v/>
      </c>
      <c r="E39" s="13">
        <f>Macro!E$16</f>
        <v/>
      </c>
      <c r="F39" s="13">
        <f>Macro!F$16</f>
        <v/>
      </c>
      <c r="G39" s="13">
        <f>Macro!G$16</f>
        <v/>
      </c>
      <c r="H39" s="13">
        <f>Macro!H$16</f>
        <v/>
      </c>
      <c r="I39" s="13">
        <f>Macro!I$16</f>
        <v/>
      </c>
    </row>
    <row r="40">
      <c r="A40" t="inlineStr">
        <is>
          <t>Volume growth</t>
        </is>
      </c>
      <c r="D40" s="13">
        <f>Inputs!$E$22+Inputs!$D$22*D39+Inputs!D$39</f>
        <v/>
      </c>
      <c r="E40" s="13">
        <f>Inputs!$E$22+Inputs!$D$22*E39+Inputs!E$39</f>
        <v/>
      </c>
      <c r="F40" s="13">
        <f>Inputs!$E$22+Inputs!$D$22*F39+Inputs!F$39</f>
        <v/>
      </c>
      <c r="G40" s="13">
        <f>Inputs!$E$22+Inputs!$D$22*G39+Inputs!G$39</f>
        <v/>
      </c>
      <c r="H40" s="13">
        <f>Inputs!$E$22+Inputs!$D$22*H39+Inputs!H$39</f>
        <v/>
      </c>
      <c r="I40" s="13">
        <f>Inputs!$E$22+Inputs!$D$22*I39+Inputs!I$39</f>
        <v/>
      </c>
    </row>
    <row r="41">
      <c r="A41" t="inlineStr">
        <is>
          <t>Volume (M units)</t>
        </is>
      </c>
      <c r="C41" s="21">
        <f>Inputs!$F$22</f>
        <v/>
      </c>
      <c r="D41" s="21">
        <f>C41*(1+D40)</f>
        <v/>
      </c>
      <c r="E41" s="21">
        <f>D41*(1+E40)</f>
        <v/>
      </c>
      <c r="F41" s="21">
        <f>E41*(1+F40)</f>
        <v/>
      </c>
      <c r="G41" s="21">
        <f>F41*(1+G40)</f>
        <v/>
      </c>
      <c r="H41" s="21">
        <f>G41*(1+H40)</f>
        <v/>
      </c>
      <c r="I41" s="21">
        <f>H41*(1+I40)</f>
        <v/>
      </c>
    </row>
    <row r="42">
      <c r="A42" t="inlineStr">
        <is>
          <t>Price growth</t>
        </is>
      </c>
      <c r="D42" s="13">
        <f>Inputs!D$30+Inputs!D$45</f>
        <v/>
      </c>
      <c r="E42" s="13">
        <f>Inputs!E$30+Inputs!E$45</f>
        <v/>
      </c>
      <c r="F42" s="13">
        <f>Inputs!F$30+Inputs!F$45</f>
        <v/>
      </c>
      <c r="G42" s="13">
        <f>Inputs!G$30+Inputs!G$45</f>
        <v/>
      </c>
      <c r="H42" s="13">
        <f>Inputs!H$30+Inputs!H$45</f>
        <v/>
      </c>
      <c r="I42" s="13">
        <f>Inputs!I$30+Inputs!I$45</f>
        <v/>
      </c>
    </row>
    <row r="43">
      <c r="A43" t="inlineStr">
        <is>
          <t>Price per unit ($)</t>
        </is>
      </c>
      <c r="C43" s="21">
        <f>Inputs!$G$22</f>
        <v/>
      </c>
      <c r="D43" s="21">
        <f>C43*(1+D42)</f>
        <v/>
      </c>
      <c r="E43" s="21">
        <f>D43*(1+E42)</f>
        <v/>
      </c>
      <c r="F43" s="21">
        <f>E43*(1+F42)</f>
        <v/>
      </c>
      <c r="G43" s="21">
        <f>F43*(1+G42)</f>
        <v/>
      </c>
      <c r="H43" s="21">
        <f>G43*(1+H42)</f>
        <v/>
      </c>
      <c r="I43" s="21">
        <f>H43*(1+I42)</f>
        <v/>
      </c>
    </row>
    <row r="44">
      <c r="A44" s="3" t="inlineStr">
        <is>
          <t>Revenue</t>
        </is>
      </c>
      <c r="C44" s="16">
        <f>C41*C43</f>
        <v/>
      </c>
      <c r="D44" s="16">
        <f>D41*D43</f>
        <v/>
      </c>
      <c r="E44" s="16">
        <f>E41*E43</f>
        <v/>
      </c>
      <c r="F44" s="16">
        <f>F41*F43</f>
        <v/>
      </c>
      <c r="G44" s="16">
        <f>G41*G43</f>
        <v/>
      </c>
      <c r="H44" s="16">
        <f>H41*H43</f>
        <v/>
      </c>
      <c r="I44" s="16">
        <f>I41*I43</f>
        <v/>
      </c>
    </row>
    <row r="45">
      <c r="A45" t="inlineStr">
        <is>
          <t>Variable cost per unit ($)</t>
        </is>
      </c>
      <c r="C45" s="21">
        <f>Inputs!$H$22</f>
        <v/>
      </c>
      <c r="D45" s="21">
        <f>C45*(1+Inputs!$J$22)</f>
        <v/>
      </c>
      <c r="E45" s="21">
        <f>D45*(1+Inputs!$J$22)</f>
        <v/>
      </c>
      <c r="F45" s="21">
        <f>E45*(1+Inputs!$J$22)</f>
        <v/>
      </c>
      <c r="G45" s="21">
        <f>F45*(1+Inputs!$J$22)</f>
        <v/>
      </c>
      <c r="H45" s="21">
        <f>G45*(1+Inputs!$J$22)</f>
        <v/>
      </c>
      <c r="I45" s="21">
        <f>H45*(1+Inputs!$J$22)</f>
        <v/>
      </c>
    </row>
    <row r="46">
      <c r="A46" t="inlineStr">
        <is>
          <t>Variable costs</t>
        </is>
      </c>
      <c r="C46" s="16">
        <f>C41*C45</f>
        <v/>
      </c>
      <c r="D46" s="16">
        <f>D41*D45</f>
        <v/>
      </c>
      <c r="E46" s="16">
        <f>E41*E45</f>
        <v/>
      </c>
      <c r="F46" s="16">
        <f>F41*F45</f>
        <v/>
      </c>
      <c r="G46" s="16">
        <f>G41*G45</f>
        <v/>
      </c>
      <c r="H46" s="16">
        <f>H41*H45</f>
        <v/>
      </c>
      <c r="I46" s="16">
        <f>I41*I45</f>
        <v/>
      </c>
    </row>
    <row r="47">
      <c r="A47" t="inlineStr">
        <is>
          <t>Fixed costs</t>
        </is>
      </c>
      <c r="C47" s="16">
        <f>Inputs!$I$22</f>
        <v/>
      </c>
      <c r="D47" s="16">
        <f>C47*(1+Inputs!$K$22)</f>
        <v/>
      </c>
      <c r="E47" s="16">
        <f>D47*(1+Inputs!$K$22)</f>
        <v/>
      </c>
      <c r="F47" s="16">
        <f>E47*(1+Inputs!$K$22)</f>
        <v/>
      </c>
      <c r="G47" s="16">
        <f>F47*(1+Inputs!$K$22)</f>
        <v/>
      </c>
      <c r="H47" s="16">
        <f>G47*(1+Inputs!$K$22)</f>
        <v/>
      </c>
      <c r="I47" s="16">
        <f>H47*(1+Inputs!$K$22)</f>
        <v/>
      </c>
    </row>
    <row r="48">
      <c r="A48" t="inlineStr">
        <is>
          <t>Growth project EBITDA</t>
        </is>
      </c>
      <c r="C48" s="16">
        <f>SUMIFS(Projects!$S$5:$S$12,Projects!$B$5:$B$12,"Ready-Mix Concrete",Projects!$R$5:$R$12,"&lt;="&amp;C$2)</f>
        <v/>
      </c>
      <c r="D48" s="16">
        <f>SUMIFS(Projects!$S$5:$S$12,Projects!$B$5:$B$12,"Ready-Mix Concrete",Projects!$R$5:$R$12,"&lt;="&amp;D$2)</f>
        <v/>
      </c>
      <c r="E48" s="16">
        <f>SUMIFS(Projects!$S$5:$S$12,Projects!$B$5:$B$12,"Ready-Mix Concrete",Projects!$R$5:$R$12,"&lt;="&amp;E$2)</f>
        <v/>
      </c>
      <c r="F48" s="16">
        <f>SUMIFS(Projects!$S$5:$S$12,Projects!$B$5:$B$12,"Ready-Mix Concrete",Projects!$R$5:$R$12,"&lt;="&amp;F$2)</f>
        <v/>
      </c>
      <c r="G48" s="16">
        <f>SUMIFS(Projects!$S$5:$S$12,Projects!$B$5:$B$12,"Ready-Mix Concrete",Projects!$R$5:$R$12,"&lt;="&amp;G$2)</f>
        <v/>
      </c>
      <c r="H48" s="16">
        <f>SUMIFS(Projects!$S$5:$S$12,Projects!$B$5:$B$12,"Ready-Mix Concrete",Projects!$R$5:$R$12,"&lt;="&amp;H$2)</f>
        <v/>
      </c>
      <c r="I48" s="16">
        <f>SUMIFS(Projects!$S$5:$S$12,Projects!$B$5:$B$12,"Ready-Mix Concrete",Projects!$R$5:$R$12,"&lt;="&amp;I$2)</f>
        <v/>
      </c>
    </row>
    <row r="49">
      <c r="A49" s="3" t="inlineStr">
        <is>
          <t>EBITDA</t>
        </is>
      </c>
      <c r="C49" s="22">
        <f>C44-C46-C47+C48</f>
        <v/>
      </c>
      <c r="D49" s="22">
        <f>D44-D46-D47+D48</f>
        <v/>
      </c>
      <c r="E49" s="22">
        <f>E44-E46-E47+E48</f>
        <v/>
      </c>
      <c r="F49" s="22">
        <f>F44-F46-F47+F48</f>
        <v/>
      </c>
      <c r="G49" s="22">
        <f>G44-G46-G47+G48</f>
        <v/>
      </c>
      <c r="H49" s="22">
        <f>H44-H46-H47+H48</f>
        <v/>
      </c>
      <c r="I49" s="22">
        <f>I44-I46-I47+I48</f>
        <v/>
      </c>
    </row>
    <row r="50">
      <c r="A50" t="inlineStr">
        <is>
          <t>EBITDA margin</t>
        </is>
      </c>
      <c r="C50" s="13">
        <f>C49/C44</f>
        <v/>
      </c>
      <c r="D50" s="13">
        <f>D49/D44</f>
        <v/>
      </c>
      <c r="E50" s="13">
        <f>E49/E44</f>
        <v/>
      </c>
      <c r="F50" s="13">
        <f>F49/F44</f>
        <v/>
      </c>
      <c r="G50" s="13">
        <f>G49/G44</f>
        <v/>
      </c>
      <c r="H50" s="13">
        <f>H49/H44</f>
        <v/>
      </c>
      <c r="I50" s="13">
        <f>I49/I44</f>
        <v/>
      </c>
    </row>
    <row r="51">
      <c r="A51" t="inlineStr">
        <is>
          <t>Maintenance capex</t>
        </is>
      </c>
      <c r="D51" s="16">
        <f>Inputs!$L$22*D44</f>
        <v/>
      </c>
      <c r="E51" s="16">
        <f>Inputs!$L$22*E44</f>
        <v/>
      </c>
      <c r="F51" s="16">
        <f>Inputs!$L$22*F44</f>
        <v/>
      </c>
      <c r="G51" s="16">
        <f>Inputs!$L$22*G44</f>
        <v/>
      </c>
      <c r="H51" s="16">
        <f>Inputs!$L$22*H44</f>
        <v/>
      </c>
      <c r="I51" s="16">
        <f>Inputs!$L$22*I44</f>
        <v/>
      </c>
    </row>
    <row r="52">
      <c r="A52" t="inlineStr">
        <is>
          <t>Growth capex</t>
        </is>
      </c>
      <c r="D52" s="16">
        <f>SUMIF(Projects!$B$5:$B$12,"Ready-Mix Concrete",Projects!$F$5:$F$12)</f>
        <v/>
      </c>
      <c r="E52" s="16">
        <f>SUMIF(Projects!$B$5:$B$12,"Ready-Mix Concrete",Projects!$G$5:$G$12)</f>
        <v/>
      </c>
      <c r="F52" s="16">
        <f>SUMIF(Projects!$B$5:$B$12,"Ready-Mix Concrete",Projects!$H$5:$H$12)</f>
        <v/>
      </c>
      <c r="G52" s="16">
        <f>SUMIF(Projects!$B$5:$B$12,"Ready-Mix Concrete",Projects!$I$5:$I$12)</f>
        <v/>
      </c>
      <c r="H52" s="16">
        <f>SUMIF(Projects!$B$5:$B$12,"Ready-Mix Concrete",Projects!$J$5:$J$12)</f>
        <v/>
      </c>
      <c r="I52" s="16">
        <f>SUMIF(Projects!$B$5:$B$12,"Ready-Mix Concrete",Projects!$K$5:$K$12)</f>
        <v/>
      </c>
    </row>
    <row r="53">
      <c r="A53" s="3" t="inlineStr">
        <is>
          <t>Total capex</t>
        </is>
      </c>
      <c r="C53" s="16">
        <f>Inputs!$M$22</f>
        <v/>
      </c>
      <c r="D53" s="16">
        <f>D51+D52</f>
        <v/>
      </c>
      <c r="E53" s="16">
        <f>E51+E52</f>
        <v/>
      </c>
      <c r="F53" s="16">
        <f>F51+F52</f>
        <v/>
      </c>
      <c r="G53" s="16">
        <f>G51+G52</f>
        <v/>
      </c>
      <c r="H53" s="16">
        <f>H51+H52</f>
        <v/>
      </c>
      <c r="I53" s="16">
        <f>I51+I52</f>
        <v/>
      </c>
    </row>
    <row r="55">
      <c r="A55" s="19" t="inlineStr">
        <is>
          <t>Asphalt &amp; Paving (driver: TLHWYCONS, volume in million tons)</t>
        </is>
      </c>
      <c r="B55" s="20" t="n"/>
      <c r="C55" s="20" t="n"/>
      <c r="D55" s="20" t="n"/>
      <c r="E55" s="20" t="n"/>
      <c r="F55" s="20" t="n"/>
      <c r="G55" s="20" t="n"/>
      <c r="H55" s="20" t="n"/>
      <c r="I55" s="20" t="n"/>
    </row>
    <row r="56">
      <c r="A56" t="inlineStr">
        <is>
          <t>Macro driver growth</t>
        </is>
      </c>
      <c r="D56" s="13">
        <f>Macro!D$18</f>
        <v/>
      </c>
      <c r="E56" s="13">
        <f>Macro!E$18</f>
        <v/>
      </c>
      <c r="F56" s="13">
        <f>Macro!F$18</f>
        <v/>
      </c>
      <c r="G56" s="13">
        <f>Macro!G$18</f>
        <v/>
      </c>
      <c r="H56" s="13">
        <f>Macro!H$18</f>
        <v/>
      </c>
      <c r="I56" s="13">
        <f>Macro!I$18</f>
        <v/>
      </c>
    </row>
    <row r="57">
      <c r="A57" t="inlineStr">
        <is>
          <t>Volume growth</t>
        </is>
      </c>
      <c r="D57" s="13">
        <f>Inputs!$E$23+Inputs!$D$23*D56+Inputs!D$39</f>
        <v/>
      </c>
      <c r="E57" s="13">
        <f>Inputs!$E$23+Inputs!$D$23*E56+Inputs!E$39</f>
        <v/>
      </c>
      <c r="F57" s="13">
        <f>Inputs!$E$23+Inputs!$D$23*F56+Inputs!F$39</f>
        <v/>
      </c>
      <c r="G57" s="13">
        <f>Inputs!$E$23+Inputs!$D$23*G56+Inputs!G$39</f>
        <v/>
      </c>
      <c r="H57" s="13">
        <f>Inputs!$E$23+Inputs!$D$23*H56+Inputs!H$39</f>
        <v/>
      </c>
      <c r="I57" s="13">
        <f>Inputs!$E$23+Inputs!$D$23*I56+Inputs!I$39</f>
        <v/>
      </c>
    </row>
    <row r="58">
      <c r="A58" t="inlineStr">
        <is>
          <t>Volume (M units)</t>
        </is>
      </c>
      <c r="C58" s="21">
        <f>Inputs!$F$23</f>
        <v/>
      </c>
      <c r="D58" s="21">
        <f>C58*(1+D57)</f>
        <v/>
      </c>
      <c r="E58" s="21">
        <f>D58*(1+E57)</f>
        <v/>
      </c>
      <c r="F58" s="21">
        <f>E58*(1+F57)</f>
        <v/>
      </c>
      <c r="G58" s="21">
        <f>F58*(1+G57)</f>
        <v/>
      </c>
      <c r="H58" s="21">
        <f>G58*(1+H57)</f>
        <v/>
      </c>
      <c r="I58" s="21">
        <f>H58*(1+I57)</f>
        <v/>
      </c>
    </row>
    <row r="59">
      <c r="A59" t="inlineStr">
        <is>
          <t>Price growth</t>
        </is>
      </c>
      <c r="D59" s="13">
        <f>Inputs!D$31+Inputs!D$45</f>
        <v/>
      </c>
      <c r="E59" s="13">
        <f>Inputs!E$31+Inputs!E$45</f>
        <v/>
      </c>
      <c r="F59" s="13">
        <f>Inputs!F$31+Inputs!F$45</f>
        <v/>
      </c>
      <c r="G59" s="13">
        <f>Inputs!G$31+Inputs!G$45</f>
        <v/>
      </c>
      <c r="H59" s="13">
        <f>Inputs!H$31+Inputs!H$45</f>
        <v/>
      </c>
      <c r="I59" s="13">
        <f>Inputs!I$31+Inputs!I$45</f>
        <v/>
      </c>
    </row>
    <row r="60">
      <c r="A60" t="inlineStr">
        <is>
          <t>Price per unit ($)</t>
        </is>
      </c>
      <c r="C60" s="21">
        <f>Inputs!$G$23</f>
        <v/>
      </c>
      <c r="D60" s="21">
        <f>C60*(1+D59)</f>
        <v/>
      </c>
      <c r="E60" s="21">
        <f>D60*(1+E59)</f>
        <v/>
      </c>
      <c r="F60" s="21">
        <f>E60*(1+F59)</f>
        <v/>
      </c>
      <c r="G60" s="21">
        <f>F60*(1+G59)</f>
        <v/>
      </c>
      <c r="H60" s="21">
        <f>G60*(1+H59)</f>
        <v/>
      </c>
      <c r="I60" s="21">
        <f>H60*(1+I59)</f>
        <v/>
      </c>
    </row>
    <row r="61">
      <c r="A61" s="3" t="inlineStr">
        <is>
          <t>Revenue</t>
        </is>
      </c>
      <c r="C61" s="16">
        <f>C58*C60</f>
        <v/>
      </c>
      <c r="D61" s="16">
        <f>D58*D60</f>
        <v/>
      </c>
      <c r="E61" s="16">
        <f>E58*E60</f>
        <v/>
      </c>
      <c r="F61" s="16">
        <f>F58*F60</f>
        <v/>
      </c>
      <c r="G61" s="16">
        <f>G58*G60</f>
        <v/>
      </c>
      <c r="H61" s="16">
        <f>H58*H60</f>
        <v/>
      </c>
      <c r="I61" s="16">
        <f>I58*I60</f>
        <v/>
      </c>
    </row>
    <row r="62">
      <c r="A62" t="inlineStr">
        <is>
          <t>Variable cost per unit ($)</t>
        </is>
      </c>
      <c r="C62" s="21">
        <f>Inputs!$H$23</f>
        <v/>
      </c>
      <c r="D62" s="21">
        <f>C62*(1+Inputs!$J$23)</f>
        <v/>
      </c>
      <c r="E62" s="21">
        <f>D62*(1+Inputs!$J$23)</f>
        <v/>
      </c>
      <c r="F62" s="21">
        <f>E62*(1+Inputs!$J$23)</f>
        <v/>
      </c>
      <c r="G62" s="21">
        <f>F62*(1+Inputs!$J$23)</f>
        <v/>
      </c>
      <c r="H62" s="21">
        <f>G62*(1+Inputs!$J$23)</f>
        <v/>
      </c>
      <c r="I62" s="21">
        <f>H62*(1+Inputs!$J$23)</f>
        <v/>
      </c>
    </row>
    <row r="63">
      <c r="A63" t="inlineStr">
        <is>
          <t>Variable costs</t>
        </is>
      </c>
      <c r="C63" s="16">
        <f>C58*C62</f>
        <v/>
      </c>
      <c r="D63" s="16">
        <f>D58*D62</f>
        <v/>
      </c>
      <c r="E63" s="16">
        <f>E58*E62</f>
        <v/>
      </c>
      <c r="F63" s="16">
        <f>F58*F62</f>
        <v/>
      </c>
      <c r="G63" s="16">
        <f>G58*G62</f>
        <v/>
      </c>
      <c r="H63" s="16">
        <f>H58*H62</f>
        <v/>
      </c>
      <c r="I63" s="16">
        <f>I58*I62</f>
        <v/>
      </c>
    </row>
    <row r="64">
      <c r="A64" t="inlineStr">
        <is>
          <t>Fixed costs</t>
        </is>
      </c>
      <c r="C64" s="16">
        <f>Inputs!$I$23</f>
        <v/>
      </c>
      <c r="D64" s="16">
        <f>C64*(1+Inputs!$K$23)</f>
        <v/>
      </c>
      <c r="E64" s="16">
        <f>D64*(1+Inputs!$K$23)</f>
        <v/>
      </c>
      <c r="F64" s="16">
        <f>E64*(1+Inputs!$K$23)</f>
        <v/>
      </c>
      <c r="G64" s="16">
        <f>F64*(1+Inputs!$K$23)</f>
        <v/>
      </c>
      <c r="H64" s="16">
        <f>G64*(1+Inputs!$K$23)</f>
        <v/>
      </c>
      <c r="I64" s="16">
        <f>H64*(1+Inputs!$K$23)</f>
        <v/>
      </c>
    </row>
    <row r="65">
      <c r="A65" t="inlineStr">
        <is>
          <t>Growth project EBITDA</t>
        </is>
      </c>
      <c r="C65" s="16">
        <f>SUMIFS(Projects!$S$5:$S$12,Projects!$B$5:$B$12,"Asphalt &amp; Paving",Projects!$R$5:$R$12,"&lt;="&amp;C$2)</f>
        <v/>
      </c>
      <c r="D65" s="16">
        <f>SUMIFS(Projects!$S$5:$S$12,Projects!$B$5:$B$12,"Asphalt &amp; Paving",Projects!$R$5:$R$12,"&lt;="&amp;D$2)</f>
        <v/>
      </c>
      <c r="E65" s="16">
        <f>SUMIFS(Projects!$S$5:$S$12,Projects!$B$5:$B$12,"Asphalt &amp; Paving",Projects!$R$5:$R$12,"&lt;="&amp;E$2)</f>
        <v/>
      </c>
      <c r="F65" s="16">
        <f>SUMIFS(Projects!$S$5:$S$12,Projects!$B$5:$B$12,"Asphalt &amp; Paving",Projects!$R$5:$R$12,"&lt;="&amp;F$2)</f>
        <v/>
      </c>
      <c r="G65" s="16">
        <f>SUMIFS(Projects!$S$5:$S$12,Projects!$B$5:$B$12,"Asphalt &amp; Paving",Projects!$R$5:$R$12,"&lt;="&amp;G$2)</f>
        <v/>
      </c>
      <c r="H65" s="16">
        <f>SUMIFS(Projects!$S$5:$S$12,Projects!$B$5:$B$12,"Asphalt &amp; Paving",Projects!$R$5:$R$12,"&lt;="&amp;H$2)</f>
        <v/>
      </c>
      <c r="I65" s="16">
        <f>SUMIFS(Projects!$S$5:$S$12,Projects!$B$5:$B$12,"Asphalt &amp; Paving",Projects!$R$5:$R$12,"&lt;="&amp;I$2)</f>
        <v/>
      </c>
    </row>
    <row r="66">
      <c r="A66" s="3" t="inlineStr">
        <is>
          <t>EBITDA</t>
        </is>
      </c>
      <c r="C66" s="22">
        <f>C61-C63-C64+C65</f>
        <v/>
      </c>
      <c r="D66" s="22">
        <f>D61-D63-D64+D65</f>
        <v/>
      </c>
      <c r="E66" s="22">
        <f>E61-E63-E64+E65</f>
        <v/>
      </c>
      <c r="F66" s="22">
        <f>F61-F63-F64+F65</f>
        <v/>
      </c>
      <c r="G66" s="22">
        <f>G61-G63-G64+G65</f>
        <v/>
      </c>
      <c r="H66" s="22">
        <f>H61-H63-H64+H65</f>
        <v/>
      </c>
      <c r="I66" s="22">
        <f>I61-I63-I64+I65</f>
        <v/>
      </c>
    </row>
    <row r="67">
      <c r="A67" t="inlineStr">
        <is>
          <t>EBITDA margin</t>
        </is>
      </c>
      <c r="C67" s="13">
        <f>C66/C61</f>
        <v/>
      </c>
      <c r="D67" s="13">
        <f>D66/D61</f>
        <v/>
      </c>
      <c r="E67" s="13">
        <f>E66/E61</f>
        <v/>
      </c>
      <c r="F67" s="13">
        <f>F66/F61</f>
        <v/>
      </c>
      <c r="G67" s="13">
        <f>G66/G61</f>
        <v/>
      </c>
      <c r="H67" s="13">
        <f>H66/H61</f>
        <v/>
      </c>
      <c r="I67" s="13">
        <f>I66/I61</f>
        <v/>
      </c>
    </row>
    <row r="68">
      <c r="A68" t="inlineStr">
        <is>
          <t>Maintenance capex</t>
        </is>
      </c>
      <c r="D68" s="16">
        <f>Inputs!$L$23*D61</f>
        <v/>
      </c>
      <c r="E68" s="16">
        <f>Inputs!$L$23*E61</f>
        <v/>
      </c>
      <c r="F68" s="16">
        <f>Inputs!$L$23*F61</f>
        <v/>
      </c>
      <c r="G68" s="16">
        <f>Inputs!$L$23*G61</f>
        <v/>
      </c>
      <c r="H68" s="16">
        <f>Inputs!$L$23*H61</f>
        <v/>
      </c>
      <c r="I68" s="16">
        <f>Inputs!$L$23*I61</f>
        <v/>
      </c>
    </row>
    <row r="69">
      <c r="A69" t="inlineStr">
        <is>
          <t>Growth capex</t>
        </is>
      </c>
      <c r="D69" s="16">
        <f>SUMIF(Projects!$B$5:$B$12,"Asphalt &amp; Paving",Projects!$F$5:$F$12)</f>
        <v/>
      </c>
      <c r="E69" s="16">
        <f>SUMIF(Projects!$B$5:$B$12,"Asphalt &amp; Paving",Projects!$G$5:$G$12)</f>
        <v/>
      </c>
      <c r="F69" s="16">
        <f>SUMIF(Projects!$B$5:$B$12,"Asphalt &amp; Paving",Projects!$H$5:$H$12)</f>
        <v/>
      </c>
      <c r="G69" s="16">
        <f>SUMIF(Projects!$B$5:$B$12,"Asphalt &amp; Paving",Projects!$I$5:$I$12)</f>
        <v/>
      </c>
      <c r="H69" s="16">
        <f>SUMIF(Projects!$B$5:$B$12,"Asphalt &amp; Paving",Projects!$J$5:$J$12)</f>
        <v/>
      </c>
      <c r="I69" s="16">
        <f>SUMIF(Projects!$B$5:$B$12,"Asphalt &amp; Paving",Projects!$K$5:$K$12)</f>
        <v/>
      </c>
    </row>
    <row r="70">
      <c r="A70" s="3" t="inlineStr">
        <is>
          <t>Total capex</t>
        </is>
      </c>
      <c r="C70" s="16">
        <f>Inputs!$M$23</f>
        <v/>
      </c>
      <c r="D70" s="16">
        <f>D68+D69</f>
        <v/>
      </c>
      <c r="E70" s="16">
        <f>E68+E69</f>
        <v/>
      </c>
      <c r="F70" s="16">
        <f>F68+F69</f>
        <v/>
      </c>
      <c r="G70" s="16">
        <f>G68+G69</f>
        <v/>
      </c>
      <c r="H70" s="16">
        <f>H68+H69</f>
        <v/>
      </c>
      <c r="I70" s="16">
        <f>I68+I69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Granite Peak Materials Group: consolidated plan</t>
        </is>
      </c>
      <c r="C1" s="3">
        <f>"Scenario: "&amp;Inputs!$C$3</f>
        <v/>
      </c>
    </row>
    <row r="3">
      <c r="C3" s="15" t="n">
        <v>2025</v>
      </c>
      <c r="D3" s="15" t="n">
        <v>2026</v>
      </c>
      <c r="E3" s="15" t="n">
        <v>2027</v>
      </c>
      <c r="F3" s="15" t="n">
        <v>2028</v>
      </c>
      <c r="G3" s="15" t="n">
        <v>2029</v>
      </c>
      <c r="H3" s="15" t="n">
        <v>2030</v>
      </c>
      <c r="I3" s="15" t="n">
        <v>2031</v>
      </c>
    </row>
    <row r="4">
      <c r="A4" s="9" t="inlineStr">
        <is>
          <t>$ millions</t>
        </is>
      </c>
      <c r="B4" s="9" t="inlineStr"/>
      <c r="C4" s="9" t="inlineStr">
        <is>
          <t>FY2025A</t>
        </is>
      </c>
      <c r="D4" s="9" t="inlineStr">
        <is>
          <t>FY2026F (9+3)</t>
        </is>
      </c>
      <c r="E4" s="9" t="inlineStr">
        <is>
          <t>FY2027 Budget</t>
        </is>
      </c>
      <c r="F4" s="9" t="inlineStr">
        <is>
          <t>FY2028 Plan</t>
        </is>
      </c>
      <c r="G4" s="9" t="inlineStr">
        <is>
          <t>FY2029 Plan</t>
        </is>
      </c>
      <c r="H4" s="9" t="inlineStr">
        <is>
          <t>FY2030 Plan</t>
        </is>
      </c>
      <c r="I4" s="9" t="inlineStr">
        <is>
          <t>FY2031 Plan</t>
        </is>
      </c>
    </row>
    <row r="5">
      <c r="A5" s="23" t="inlineStr">
        <is>
          <t xml:space="preserve">  Revenue: Aggregates</t>
        </is>
      </c>
      <c r="C5" s="16">
        <f>OpCo_Plan!C10</f>
        <v/>
      </c>
      <c r="D5" s="16">
        <f>OpCo_Plan!D10</f>
        <v/>
      </c>
      <c r="E5" s="16">
        <f>OpCo_Plan!E10</f>
        <v/>
      </c>
      <c r="F5" s="16">
        <f>OpCo_Plan!F10</f>
        <v/>
      </c>
      <c r="G5" s="16">
        <f>OpCo_Plan!G10</f>
        <v/>
      </c>
      <c r="H5" s="16">
        <f>OpCo_Plan!H10</f>
        <v/>
      </c>
      <c r="I5" s="16">
        <f>OpCo_Plan!I10</f>
        <v/>
      </c>
    </row>
    <row r="6">
      <c r="A6" s="23" t="inlineStr">
        <is>
          <t xml:space="preserve">  Revenue: Cement</t>
        </is>
      </c>
      <c r="C6" s="16">
        <f>OpCo_Plan!C27</f>
        <v/>
      </c>
      <c r="D6" s="16">
        <f>OpCo_Plan!D27</f>
        <v/>
      </c>
      <c r="E6" s="16">
        <f>OpCo_Plan!E27</f>
        <v/>
      </c>
      <c r="F6" s="16">
        <f>OpCo_Plan!F27</f>
        <v/>
      </c>
      <c r="G6" s="16">
        <f>OpCo_Plan!G27</f>
        <v/>
      </c>
      <c r="H6" s="16">
        <f>OpCo_Plan!H27</f>
        <v/>
      </c>
      <c r="I6" s="16">
        <f>OpCo_Plan!I27</f>
        <v/>
      </c>
    </row>
    <row r="7">
      <c r="A7" s="23" t="inlineStr">
        <is>
          <t xml:space="preserve">  Revenue: Ready-Mix Concrete</t>
        </is>
      </c>
      <c r="C7" s="16">
        <f>OpCo_Plan!C44</f>
        <v/>
      </c>
      <c r="D7" s="16">
        <f>OpCo_Plan!D44</f>
        <v/>
      </c>
      <c r="E7" s="16">
        <f>OpCo_Plan!E44</f>
        <v/>
      </c>
      <c r="F7" s="16">
        <f>OpCo_Plan!F44</f>
        <v/>
      </c>
      <c r="G7" s="16">
        <f>OpCo_Plan!G44</f>
        <v/>
      </c>
      <c r="H7" s="16">
        <f>OpCo_Plan!H44</f>
        <v/>
      </c>
      <c r="I7" s="16">
        <f>OpCo_Plan!I44</f>
        <v/>
      </c>
    </row>
    <row r="8">
      <c r="A8" s="23" t="inlineStr">
        <is>
          <t xml:space="preserve">  Revenue: Asphalt &amp; Paving</t>
        </is>
      </c>
      <c r="C8" s="16">
        <f>OpCo_Plan!C61</f>
        <v/>
      </c>
      <c r="D8" s="16">
        <f>OpCo_Plan!D61</f>
        <v/>
      </c>
      <c r="E8" s="16">
        <f>OpCo_Plan!E61</f>
        <v/>
      </c>
      <c r="F8" s="16">
        <f>OpCo_Plan!F61</f>
        <v/>
      </c>
      <c r="G8" s="16">
        <f>OpCo_Plan!G61</f>
        <v/>
      </c>
      <c r="H8" s="16">
        <f>OpCo_Plan!H61</f>
        <v/>
      </c>
      <c r="I8" s="16">
        <f>OpCo_Plan!I61</f>
        <v/>
      </c>
    </row>
    <row r="9">
      <c r="A9" s="23" t="inlineStr">
        <is>
          <t>Total operating company revenue</t>
        </is>
      </c>
      <c r="C9" s="24">
        <f>SUM(C5:C8)</f>
        <v/>
      </c>
      <c r="D9" s="24">
        <f>SUM(D5:D8)</f>
        <v/>
      </c>
      <c r="E9" s="24">
        <f>SUM(E5:E8)</f>
        <v/>
      </c>
      <c r="F9" s="24">
        <f>SUM(F5:F8)</f>
        <v/>
      </c>
      <c r="G9" s="24">
        <f>SUM(G5:G8)</f>
        <v/>
      </c>
      <c r="H9" s="24">
        <f>SUM(H5:H8)</f>
        <v/>
      </c>
      <c r="I9" s="24">
        <f>SUM(I5:I8)</f>
        <v/>
      </c>
    </row>
    <row r="10">
      <c r="A10" s="23" t="inlineStr">
        <is>
          <t>Intercompany eliminations</t>
        </is>
      </c>
      <c r="C10" s="16">
        <f>-(C5*Inputs!$N$20+C6*Inputs!$N$21+C7*Inputs!$N$22+C8*Inputs!$N$23)</f>
        <v/>
      </c>
      <c r="D10" s="16">
        <f>-(D5*Inputs!$N$20+D6*Inputs!$N$21+D7*Inputs!$N$22+D8*Inputs!$N$23)</f>
        <v/>
      </c>
      <c r="E10" s="16">
        <f>-(E5*Inputs!$N$20+E6*Inputs!$N$21+E7*Inputs!$N$22+E8*Inputs!$N$23)</f>
        <v/>
      </c>
      <c r="F10" s="16">
        <f>-(F5*Inputs!$N$20+F6*Inputs!$N$21+F7*Inputs!$N$22+F8*Inputs!$N$23)</f>
        <v/>
      </c>
      <c r="G10" s="16">
        <f>-(G5*Inputs!$N$20+G6*Inputs!$N$21+G7*Inputs!$N$22+G8*Inputs!$N$23)</f>
        <v/>
      </c>
      <c r="H10" s="16">
        <f>-(H5*Inputs!$N$20+H6*Inputs!$N$21+H7*Inputs!$N$22+H8*Inputs!$N$23)</f>
        <v/>
      </c>
      <c r="I10" s="16">
        <f>-(I5*Inputs!$N$20+I6*Inputs!$N$21+I7*Inputs!$N$22+I8*Inputs!$N$23)</f>
        <v/>
      </c>
    </row>
    <row r="11">
      <c r="A11" s="3" t="inlineStr">
        <is>
          <t>Consolidated revenue</t>
        </is>
      </c>
      <c r="C11" s="18">
        <f>C9+C10</f>
        <v/>
      </c>
      <c r="D11" s="18">
        <f>D9+D10</f>
        <v/>
      </c>
      <c r="E11" s="18">
        <f>E9+E10</f>
        <v/>
      </c>
      <c r="F11" s="18">
        <f>F9+F10</f>
        <v/>
      </c>
      <c r="G11" s="18">
        <f>G9+G10</f>
        <v/>
      </c>
      <c r="H11" s="18">
        <f>H9+H10</f>
        <v/>
      </c>
      <c r="I11" s="18">
        <f>I9+I10</f>
        <v/>
      </c>
    </row>
    <row r="13">
      <c r="A13" s="23" t="inlineStr">
        <is>
          <t xml:space="preserve">  EBITDA: Aggregates</t>
        </is>
      </c>
      <c r="C13" s="16">
        <f>OpCo_Plan!C15</f>
        <v/>
      </c>
      <c r="D13" s="16">
        <f>OpCo_Plan!D15</f>
        <v/>
      </c>
      <c r="E13" s="16">
        <f>OpCo_Plan!E15</f>
        <v/>
      </c>
      <c r="F13" s="16">
        <f>OpCo_Plan!F15</f>
        <v/>
      </c>
      <c r="G13" s="16">
        <f>OpCo_Plan!G15</f>
        <v/>
      </c>
      <c r="H13" s="16">
        <f>OpCo_Plan!H15</f>
        <v/>
      </c>
      <c r="I13" s="16">
        <f>OpCo_Plan!I15</f>
        <v/>
      </c>
    </row>
    <row r="14">
      <c r="A14" s="23" t="inlineStr">
        <is>
          <t xml:space="preserve">  EBITDA: Cement</t>
        </is>
      </c>
      <c r="C14" s="16">
        <f>OpCo_Plan!C32</f>
        <v/>
      </c>
      <c r="D14" s="16">
        <f>OpCo_Plan!D32</f>
        <v/>
      </c>
      <c r="E14" s="16">
        <f>OpCo_Plan!E32</f>
        <v/>
      </c>
      <c r="F14" s="16">
        <f>OpCo_Plan!F32</f>
        <v/>
      </c>
      <c r="G14" s="16">
        <f>OpCo_Plan!G32</f>
        <v/>
      </c>
      <c r="H14" s="16">
        <f>OpCo_Plan!H32</f>
        <v/>
      </c>
      <c r="I14" s="16">
        <f>OpCo_Plan!I32</f>
        <v/>
      </c>
    </row>
    <row r="15">
      <c r="A15" s="23" t="inlineStr">
        <is>
          <t xml:space="preserve">  EBITDA: Ready-Mix Concrete</t>
        </is>
      </c>
      <c r="C15" s="16">
        <f>OpCo_Plan!C49</f>
        <v/>
      </c>
      <c r="D15" s="16">
        <f>OpCo_Plan!D49</f>
        <v/>
      </c>
      <c r="E15" s="16">
        <f>OpCo_Plan!E49</f>
        <v/>
      </c>
      <c r="F15" s="16">
        <f>OpCo_Plan!F49</f>
        <v/>
      </c>
      <c r="G15" s="16">
        <f>OpCo_Plan!G49</f>
        <v/>
      </c>
      <c r="H15" s="16">
        <f>OpCo_Plan!H49</f>
        <v/>
      </c>
      <c r="I15" s="16">
        <f>OpCo_Plan!I49</f>
        <v/>
      </c>
    </row>
    <row r="16">
      <c r="A16" s="23" t="inlineStr">
        <is>
          <t xml:space="preserve">  EBITDA: Asphalt &amp; Paving</t>
        </is>
      </c>
      <c r="C16" s="16">
        <f>OpCo_Plan!C66</f>
        <v/>
      </c>
      <c r="D16" s="16">
        <f>OpCo_Plan!D66</f>
        <v/>
      </c>
      <c r="E16" s="16">
        <f>OpCo_Plan!E66</f>
        <v/>
      </c>
      <c r="F16" s="16">
        <f>OpCo_Plan!F66</f>
        <v/>
      </c>
      <c r="G16" s="16">
        <f>OpCo_Plan!G66</f>
        <v/>
      </c>
      <c r="H16" s="16">
        <f>OpCo_Plan!H66</f>
        <v/>
      </c>
      <c r="I16" s="16">
        <f>OpCo_Plan!I66</f>
        <v/>
      </c>
    </row>
    <row r="17">
      <c r="A17" s="23" t="inlineStr">
        <is>
          <t>Corporate costs</t>
        </is>
      </c>
      <c r="C17" s="16">
        <f>-CorpCost2025</f>
        <v/>
      </c>
      <c r="D17" s="16">
        <f>C17*(1+CorpInfl)</f>
        <v/>
      </c>
      <c r="E17" s="16">
        <f>D17*(1+CorpInfl)</f>
        <v/>
      </c>
      <c r="F17" s="16">
        <f>E17*(1+CorpInfl)</f>
        <v/>
      </c>
      <c r="G17" s="16">
        <f>F17*(1+CorpInfl)</f>
        <v/>
      </c>
      <c r="H17" s="16">
        <f>G17*(1+CorpInfl)</f>
        <v/>
      </c>
      <c r="I17" s="16">
        <f>H17*(1+CorpInfl)</f>
        <v/>
      </c>
    </row>
    <row r="18">
      <c r="A18" s="3" t="inlineStr">
        <is>
          <t>Consolidated EBITDA</t>
        </is>
      </c>
      <c r="C18" s="18">
        <f>SUM(C13:C17)</f>
        <v/>
      </c>
      <c r="D18" s="18">
        <f>SUM(D13:D17)</f>
        <v/>
      </c>
      <c r="E18" s="18">
        <f>SUM(E13:E17)</f>
        <v/>
      </c>
      <c r="F18" s="18">
        <f>SUM(F13:F17)</f>
        <v/>
      </c>
      <c r="G18" s="18">
        <f>SUM(G13:G17)</f>
        <v/>
      </c>
      <c r="H18" s="18">
        <f>SUM(H13:H17)</f>
        <v/>
      </c>
      <c r="I18" s="18">
        <f>SUM(I13:I17)</f>
        <v/>
      </c>
    </row>
    <row r="19">
      <c r="A19" s="23" t="inlineStr">
        <is>
          <t>EBITDA margin</t>
        </is>
      </c>
      <c r="C19" s="13">
        <f>C18/C11</f>
        <v/>
      </c>
      <c r="D19" s="13">
        <f>D18/D11</f>
        <v/>
      </c>
      <c r="E19" s="13">
        <f>E18/E11</f>
        <v/>
      </c>
      <c r="F19" s="13">
        <f>F18/F11</f>
        <v/>
      </c>
      <c r="G19" s="13">
        <f>G18/G11</f>
        <v/>
      </c>
      <c r="H19" s="13">
        <f>H18/H11</f>
        <v/>
      </c>
      <c r="I19" s="13">
        <f>I18/I11</f>
        <v/>
      </c>
    </row>
    <row r="20">
      <c r="A20" s="25" t="inlineStr">
        <is>
          <t>Intercompany sales are eliminated at cost, so EBITDA is unaffected</t>
        </is>
      </c>
    </row>
    <row r="22">
      <c r="A22" s="23" t="inlineStr">
        <is>
          <t>Depreciation &amp; amortization</t>
        </is>
      </c>
      <c r="C22" s="16">
        <f>DA2025</f>
        <v/>
      </c>
      <c r="D22" s="16">
        <f>C29/AssetLife</f>
        <v/>
      </c>
      <c r="E22" s="16">
        <f>D29/AssetLife</f>
        <v/>
      </c>
      <c r="F22" s="16">
        <f>E29/AssetLife</f>
        <v/>
      </c>
      <c r="G22" s="16">
        <f>F29/AssetLife</f>
        <v/>
      </c>
      <c r="H22" s="16">
        <f>G29/AssetLife</f>
        <v/>
      </c>
      <c r="I22" s="16">
        <f>H29/AssetLife</f>
        <v/>
      </c>
    </row>
    <row r="23">
      <c r="A23" s="23" t="inlineStr">
        <is>
          <t>EBIT</t>
        </is>
      </c>
      <c r="C23" s="24">
        <f>C18-C22</f>
        <v/>
      </c>
      <c r="D23" s="24">
        <f>D18-D22</f>
        <v/>
      </c>
      <c r="E23" s="24">
        <f>E18-E22</f>
        <v/>
      </c>
      <c r="F23" s="24">
        <f>F18-F22</f>
        <v/>
      </c>
      <c r="G23" s="24">
        <f>G18-G22</f>
        <v/>
      </c>
      <c r="H23" s="24">
        <f>H18-H22</f>
        <v/>
      </c>
      <c r="I23" s="24">
        <f>I18-I22</f>
        <v/>
      </c>
    </row>
    <row r="24">
      <c r="A24" s="23" t="inlineStr">
        <is>
          <t>Cash taxes</t>
        </is>
      </c>
      <c r="D24" s="16">
        <f>D23*TaxRate</f>
        <v/>
      </c>
      <c r="E24" s="16">
        <f>E23*TaxRate</f>
        <v/>
      </c>
      <c r="F24" s="16">
        <f>F23*TaxRate</f>
        <v/>
      </c>
      <c r="G24" s="16">
        <f>G23*TaxRate</f>
        <v/>
      </c>
      <c r="H24" s="16">
        <f>H23*TaxRate</f>
        <v/>
      </c>
      <c r="I24" s="16">
        <f>I23*TaxRate</f>
        <v/>
      </c>
    </row>
    <row r="26">
      <c r="A26" s="23" t="inlineStr">
        <is>
          <t>Maintenance capex</t>
        </is>
      </c>
      <c r="D26" s="16">
        <f>OpCo_Plan!D17+OpCo_Plan!D34+OpCo_Plan!D51+OpCo_Plan!D68</f>
        <v/>
      </c>
      <c r="E26" s="16">
        <f>OpCo_Plan!E17+OpCo_Plan!E34+OpCo_Plan!E51+OpCo_Plan!E68</f>
        <v/>
      </c>
      <c r="F26" s="16">
        <f>OpCo_Plan!F17+OpCo_Plan!F34+OpCo_Plan!F51+OpCo_Plan!F68</f>
        <v/>
      </c>
      <c r="G26" s="16">
        <f>OpCo_Plan!G17+OpCo_Plan!G34+OpCo_Plan!G51+OpCo_Plan!G68</f>
        <v/>
      </c>
      <c r="H26" s="16">
        <f>OpCo_Plan!H17+OpCo_Plan!H34+OpCo_Plan!H51+OpCo_Plan!H68</f>
        <v/>
      </c>
      <c r="I26" s="16">
        <f>OpCo_Plan!I17+OpCo_Plan!I34+OpCo_Plan!I51+OpCo_Plan!I68</f>
        <v/>
      </c>
    </row>
    <row r="27">
      <c r="A27" s="23" t="inlineStr">
        <is>
          <t>Growth capex</t>
        </is>
      </c>
      <c r="D27" s="16">
        <f>OpCo_Plan!D18+OpCo_Plan!D35+OpCo_Plan!D52+OpCo_Plan!D69</f>
        <v/>
      </c>
      <c r="E27" s="16">
        <f>OpCo_Plan!E18+OpCo_Plan!E35+OpCo_Plan!E52+OpCo_Plan!E69</f>
        <v/>
      </c>
      <c r="F27" s="16">
        <f>OpCo_Plan!F18+OpCo_Plan!F35+OpCo_Plan!F52+OpCo_Plan!F69</f>
        <v/>
      </c>
      <c r="G27" s="16">
        <f>OpCo_Plan!G18+OpCo_Plan!G35+OpCo_Plan!G52+OpCo_Plan!G69</f>
        <v/>
      </c>
      <c r="H27" s="16">
        <f>OpCo_Plan!H18+OpCo_Plan!H35+OpCo_Plan!H52+OpCo_Plan!H69</f>
        <v/>
      </c>
      <c r="I27" s="16">
        <f>OpCo_Plan!I18+OpCo_Plan!I35+OpCo_Plan!I52+OpCo_Plan!I69</f>
        <v/>
      </c>
    </row>
    <row r="28">
      <c r="A28" s="3" t="inlineStr">
        <is>
          <t>Total capex</t>
        </is>
      </c>
      <c r="C28" s="18">
        <f>OpCo_Plan!C19+OpCo_Plan!C36+OpCo_Plan!C53+OpCo_Plan!C70</f>
        <v/>
      </c>
      <c r="D28" s="18">
        <f>D26+D27</f>
        <v/>
      </c>
      <c r="E28" s="18">
        <f>E26+E27</f>
        <v/>
      </c>
      <c r="F28" s="18">
        <f>F26+F27</f>
        <v/>
      </c>
      <c r="G28" s="18">
        <f>G26+G27</f>
        <v/>
      </c>
      <c r="H28" s="18">
        <f>H26+H27</f>
        <v/>
      </c>
      <c r="I28" s="18">
        <f>I26+I27</f>
        <v/>
      </c>
    </row>
    <row r="29">
      <c r="A29" s="23" t="inlineStr">
        <is>
          <t>Net PP&amp;E (closing)</t>
        </is>
      </c>
      <c r="C29" s="16">
        <f>PPE2025</f>
        <v/>
      </c>
      <c r="D29" s="16">
        <f>C29+D28-D22</f>
        <v/>
      </c>
      <c r="E29" s="16">
        <f>D29+E28-E22</f>
        <v/>
      </c>
      <c r="F29" s="16">
        <f>E29+F28-F22</f>
        <v/>
      </c>
      <c r="G29" s="16">
        <f>F29+G28-G22</f>
        <v/>
      </c>
      <c r="H29" s="16">
        <f>G29+H28-H22</f>
        <v/>
      </c>
      <c r="I29" s="16">
        <f>H29+I28-I22</f>
        <v/>
      </c>
    </row>
    <row r="30">
      <c r="A30" s="23" t="inlineStr">
        <is>
          <t>Capex / D&amp;A</t>
        </is>
      </c>
      <c r="C30" s="26">
        <f>C28/C22</f>
        <v/>
      </c>
      <c r="D30" s="26">
        <f>D28/D22</f>
        <v/>
      </c>
      <c r="E30" s="26">
        <f>E28/E22</f>
        <v/>
      </c>
      <c r="F30" s="26">
        <f>F28/F22</f>
        <v/>
      </c>
      <c r="G30" s="26">
        <f>G28/G22</f>
        <v/>
      </c>
      <c r="H30" s="26">
        <f>H28/H22</f>
        <v/>
      </c>
      <c r="I30" s="26">
        <f>I28/I22</f>
        <v/>
      </c>
    </row>
    <row r="32">
      <c r="A32" s="23" t="inlineStr">
        <is>
          <t>Net working capital</t>
        </is>
      </c>
      <c r="C32" s="16">
        <f>C11*NWCPct</f>
        <v/>
      </c>
      <c r="D32" s="16">
        <f>D11*NWCPct</f>
        <v/>
      </c>
      <c r="E32" s="16">
        <f>E11*NWCPct</f>
        <v/>
      </c>
      <c r="F32" s="16">
        <f>F11*NWCPct</f>
        <v/>
      </c>
      <c r="G32" s="16">
        <f>G11*NWCPct</f>
        <v/>
      </c>
      <c r="H32" s="16">
        <f>H11*NWCPct</f>
        <v/>
      </c>
      <c r="I32" s="16">
        <f>I11*NWCPct</f>
        <v/>
      </c>
    </row>
    <row r="33">
      <c r="A33" s="23" t="inlineStr">
        <is>
          <t>Increase in net working capital</t>
        </is>
      </c>
      <c r="D33" s="16">
        <f>D32-C32</f>
        <v/>
      </c>
      <c r="E33" s="16">
        <f>E32-D32</f>
        <v/>
      </c>
      <c r="F33" s="16">
        <f>F32-E32</f>
        <v/>
      </c>
      <c r="G33" s="16">
        <f>G32-F32</f>
        <v/>
      </c>
      <c r="H33" s="16">
        <f>H32-G32</f>
        <v/>
      </c>
      <c r="I33" s="16">
        <f>I32-H32</f>
        <v/>
      </c>
    </row>
    <row r="35">
      <c r="A35" s="3" t="inlineStr">
        <is>
          <t>Free cash flow (EBITDA - taxes - capex - increase in NWC)</t>
        </is>
      </c>
      <c r="D35" s="18">
        <f>D18-D24-D28-D33</f>
        <v/>
      </c>
      <c r="E35" s="18">
        <f>E18-E24-E28-E33</f>
        <v/>
      </c>
      <c r="F35" s="18">
        <f>F18-F24-F28-F33</f>
        <v/>
      </c>
      <c r="G35" s="18">
        <f>G18-G24-G28-G33</f>
        <v/>
      </c>
      <c r="H35" s="18">
        <f>H18-H24-H28-H33</f>
        <v/>
      </c>
      <c r="I35" s="18">
        <f>I18-I24-I28-I33</f>
        <v/>
      </c>
    </row>
    <row r="36">
      <c r="A36" s="23" t="inlineStr">
        <is>
          <t>FCF conversion (FCF / EBITDA)</t>
        </is>
      </c>
      <c r="D36" s="13">
        <f>D35/D18</f>
        <v/>
      </c>
      <c r="E36" s="13">
        <f>E35/E18</f>
        <v/>
      </c>
      <c r="F36" s="13">
        <f>F35/F18</f>
        <v/>
      </c>
      <c r="G36" s="13">
        <f>G35/G18</f>
        <v/>
      </c>
      <c r="H36" s="13">
        <f>H35/H18</f>
        <v/>
      </c>
      <c r="I36" s="13">
        <f>I35/I18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FY2026 CAPEX: budget vs. year to date vs. forecast</t>
        </is>
      </c>
    </row>
    <row r="2">
      <c r="A2">
        <f>"Flag when variance is at least "&amp;TEXT(VarPct,"0%")&amp;" and $"&amp;TEXT(VarAmt,"0")&amp;"M. Variance: + = under budget."</f>
        <v/>
      </c>
    </row>
    <row r="4" ht="32" customHeight="1">
      <c r="A4" s="9" t="inlineStr">
        <is>
          <t>Operating company</t>
        </is>
      </c>
      <c r="B4" s="9" t="inlineStr">
        <is>
          <t>Maint. budget</t>
        </is>
      </c>
      <c r="C4" s="9" t="inlineStr">
        <is>
          <t>Maint. YTD</t>
        </is>
      </c>
      <c r="D4" s="9" t="inlineStr">
        <is>
          <t>Maint. forecast</t>
        </is>
      </c>
      <c r="E4" s="9" t="inlineStr">
        <is>
          <t>Growth budget</t>
        </is>
      </c>
      <c r="F4" s="9" t="inlineStr">
        <is>
          <t>Growth YTD</t>
        </is>
      </c>
      <c r="G4" s="9" t="inlineStr">
        <is>
          <t>Growth forecast</t>
        </is>
      </c>
      <c r="H4" s="9" t="inlineStr">
        <is>
          <t>Total budget</t>
        </is>
      </c>
      <c r="I4" s="9" t="inlineStr">
        <is>
          <t>Total YTD</t>
        </is>
      </c>
      <c r="J4" s="9" t="inlineStr">
        <is>
          <t>Total forecast</t>
        </is>
      </c>
      <c r="K4" s="9" t="inlineStr">
        <is>
          <t>% of forecast spent</t>
        </is>
      </c>
      <c r="L4" s="9" t="inlineStr">
        <is>
          <t>Variance</t>
        </is>
      </c>
      <c r="M4" s="9" t="inlineStr">
        <is>
          <t>Variance %</t>
        </is>
      </c>
      <c r="N4" s="9" t="inlineStr">
        <is>
          <t>Flag</t>
        </is>
      </c>
    </row>
    <row r="5">
      <c r="A5" t="inlineStr">
        <is>
          <t>Aggregates</t>
        </is>
      </c>
      <c r="B5" s="16">
        <f>Inputs!$O$20</f>
        <v/>
      </c>
      <c r="C5" s="16">
        <f>Inputs!$P$20</f>
        <v/>
      </c>
      <c r="D5" s="16">
        <f>OpCo_Plan!D17</f>
        <v/>
      </c>
      <c r="E5" s="16">
        <f>SUMIF(Projects!$B$5:$B$12,"Aggregates",Projects!$N$5:$N$12)</f>
        <v/>
      </c>
      <c r="F5" s="16">
        <f>SUMIF(Projects!$B$5:$B$12,"Aggregates",Projects!$O$5:$O$12)</f>
        <v/>
      </c>
      <c r="G5" s="16">
        <f>SUMIF(Projects!$B$5:$B$12,"Aggregates",Projects!$P$5:$P$12)</f>
        <v/>
      </c>
      <c r="H5" s="16">
        <f>B5+E5</f>
        <v/>
      </c>
      <c r="I5" s="16">
        <f>C5+F5</f>
        <v/>
      </c>
      <c r="J5" s="16">
        <f>D5+G5</f>
        <v/>
      </c>
      <c r="K5" s="13">
        <f>I5/J5</f>
        <v/>
      </c>
      <c r="L5" s="16">
        <f>H5-J5</f>
        <v/>
      </c>
      <c r="M5" s="13">
        <f>L5/H5</f>
        <v/>
      </c>
      <c r="N5">
        <f>IF(AND(ABS(M5)&gt;=VarPct,ABS(L5)&gt;=VarAmt),IF(L5&gt;0,"UNDER","OVER"),"")</f>
        <v/>
      </c>
    </row>
    <row r="6">
      <c r="A6" t="inlineStr">
        <is>
          <t>Cement</t>
        </is>
      </c>
      <c r="B6" s="16">
        <f>Inputs!$O$21</f>
        <v/>
      </c>
      <c r="C6" s="16">
        <f>Inputs!$P$21</f>
        <v/>
      </c>
      <c r="D6" s="16">
        <f>OpCo_Plan!D34</f>
        <v/>
      </c>
      <c r="E6" s="16">
        <f>SUMIF(Projects!$B$5:$B$12,"Cement",Projects!$N$5:$N$12)</f>
        <v/>
      </c>
      <c r="F6" s="16">
        <f>SUMIF(Projects!$B$5:$B$12,"Cement",Projects!$O$5:$O$12)</f>
        <v/>
      </c>
      <c r="G6" s="16">
        <f>SUMIF(Projects!$B$5:$B$12,"Cement",Projects!$P$5:$P$12)</f>
        <v/>
      </c>
      <c r="H6" s="16">
        <f>B6+E6</f>
        <v/>
      </c>
      <c r="I6" s="16">
        <f>C6+F6</f>
        <v/>
      </c>
      <c r="J6" s="16">
        <f>D6+G6</f>
        <v/>
      </c>
      <c r="K6" s="13">
        <f>I6/J6</f>
        <v/>
      </c>
      <c r="L6" s="16">
        <f>H6-J6</f>
        <v/>
      </c>
      <c r="M6" s="13">
        <f>L6/H6</f>
        <v/>
      </c>
      <c r="N6">
        <f>IF(AND(ABS(M6)&gt;=VarPct,ABS(L6)&gt;=VarAmt),IF(L6&gt;0,"UNDER","OVER"),"")</f>
        <v/>
      </c>
    </row>
    <row r="7">
      <c r="A7" t="inlineStr">
        <is>
          <t>Ready-Mix Concrete</t>
        </is>
      </c>
      <c r="B7" s="16">
        <f>Inputs!$O$22</f>
        <v/>
      </c>
      <c r="C7" s="16">
        <f>Inputs!$P$22</f>
        <v/>
      </c>
      <c r="D7" s="16">
        <f>OpCo_Plan!D51</f>
        <v/>
      </c>
      <c r="E7" s="16">
        <f>SUMIF(Projects!$B$5:$B$12,"Ready-Mix Concrete",Projects!$N$5:$N$12)</f>
        <v/>
      </c>
      <c r="F7" s="16">
        <f>SUMIF(Projects!$B$5:$B$12,"Ready-Mix Concrete",Projects!$O$5:$O$12)</f>
        <v/>
      </c>
      <c r="G7" s="16">
        <f>SUMIF(Projects!$B$5:$B$12,"Ready-Mix Concrete",Projects!$P$5:$P$12)</f>
        <v/>
      </c>
      <c r="H7" s="16">
        <f>B7+E7</f>
        <v/>
      </c>
      <c r="I7" s="16">
        <f>C7+F7</f>
        <v/>
      </c>
      <c r="J7" s="16">
        <f>D7+G7</f>
        <v/>
      </c>
      <c r="K7" s="13">
        <f>I7/J7</f>
        <v/>
      </c>
      <c r="L7" s="16">
        <f>H7-J7</f>
        <v/>
      </c>
      <c r="M7" s="13">
        <f>L7/H7</f>
        <v/>
      </c>
      <c r="N7">
        <f>IF(AND(ABS(M7)&gt;=VarPct,ABS(L7)&gt;=VarAmt),IF(L7&gt;0,"UNDER","OVER"),"")</f>
        <v/>
      </c>
    </row>
    <row r="8">
      <c r="A8" t="inlineStr">
        <is>
          <t>Asphalt &amp; Paving</t>
        </is>
      </c>
      <c r="B8" s="16">
        <f>Inputs!$O$23</f>
        <v/>
      </c>
      <c r="C8" s="16">
        <f>Inputs!$P$23</f>
        <v/>
      </c>
      <c r="D8" s="16">
        <f>OpCo_Plan!D68</f>
        <v/>
      </c>
      <c r="E8" s="16">
        <f>SUMIF(Projects!$B$5:$B$12,"Asphalt &amp; Paving",Projects!$N$5:$N$12)</f>
        <v/>
      </c>
      <c r="F8" s="16">
        <f>SUMIF(Projects!$B$5:$B$12,"Asphalt &amp; Paving",Projects!$O$5:$O$12)</f>
        <v/>
      </c>
      <c r="G8" s="16">
        <f>SUMIF(Projects!$B$5:$B$12,"Asphalt &amp; Paving",Projects!$P$5:$P$12)</f>
        <v/>
      </c>
      <c r="H8" s="16">
        <f>B8+E8</f>
        <v/>
      </c>
      <c r="I8" s="16">
        <f>C8+F8</f>
        <v/>
      </c>
      <c r="J8" s="16">
        <f>D8+G8</f>
        <v/>
      </c>
      <c r="K8" s="13">
        <f>I8/J8</f>
        <v/>
      </c>
      <c r="L8" s="16">
        <f>H8-J8</f>
        <v/>
      </c>
      <c r="M8" s="13">
        <f>L8/H8</f>
        <v/>
      </c>
      <c r="N8">
        <f>IF(AND(ABS(M8)&gt;=VarPct,ABS(L8)&gt;=VarAmt),IF(L8&gt;0,"UNDER","OVER"),"")</f>
        <v/>
      </c>
    </row>
    <row r="9">
      <c r="A9" s="3" t="inlineStr">
        <is>
          <t>Total</t>
        </is>
      </c>
      <c r="B9" s="18">
        <f>SUM(B5:B8)</f>
        <v/>
      </c>
      <c r="C9" s="18">
        <f>SUM(C5:C8)</f>
        <v/>
      </c>
      <c r="D9" s="18">
        <f>SUM(D5:D8)</f>
        <v/>
      </c>
      <c r="E9" s="18">
        <f>SUM(E5:E8)</f>
        <v/>
      </c>
      <c r="F9" s="18">
        <f>SUM(F5:F8)</f>
        <v/>
      </c>
      <c r="G9" s="18">
        <f>SUM(G5:G8)</f>
        <v/>
      </c>
      <c r="H9" s="18">
        <f>SUM(H5:H8)</f>
        <v/>
      </c>
      <c r="I9" s="18">
        <f>SUM(I5:I8)</f>
        <v/>
      </c>
      <c r="J9" s="18">
        <f>SUM(J5:J8)</f>
        <v/>
      </c>
      <c r="K9" s="12">
        <f>I9/J9</f>
        <v/>
      </c>
      <c r="L9" s="22">
        <f>H9-J9</f>
        <v/>
      </c>
      <c r="M9" s="12">
        <f>L9/H9</f>
        <v/>
      </c>
      <c r="N9" s="3">
        <f>IF(AND(ABS(M9)&gt;=VarPct,ABS(L9)&gt;=VarAmt),IF(L9&gt;0,"UNDER","OVER"),"")</f>
        <v/>
      </c>
    </row>
    <row r="11">
      <c r="A11" s="3" t="inlineStr">
        <is>
          <t>Five-year CAPEX plan</t>
        </is>
      </c>
    </row>
    <row r="12">
      <c r="A12" s="9" t="inlineStr">
        <is>
          <t>$ millions</t>
        </is>
      </c>
      <c r="B12" s="9" t="inlineStr">
        <is>
          <t>FY2027</t>
        </is>
      </c>
      <c r="C12" s="9" t="inlineStr">
        <is>
          <t>FY2028</t>
        </is>
      </c>
      <c r="D12" s="9" t="inlineStr">
        <is>
          <t>FY2029</t>
        </is>
      </c>
      <c r="E12" s="9" t="inlineStr">
        <is>
          <t>FY2030</t>
        </is>
      </c>
      <c r="F12" s="9" t="inlineStr">
        <is>
          <t>FY2031</t>
        </is>
      </c>
      <c r="G12" s="9" t="inlineStr">
        <is>
          <t>5-year total</t>
        </is>
      </c>
      <c r="H12" s="9" t="inlineStr">
        <is>
          <t>% of total</t>
        </is>
      </c>
    </row>
    <row r="13">
      <c r="A13" s="23" t="inlineStr">
        <is>
          <t>Aggregates</t>
        </is>
      </c>
      <c r="B13" s="16">
        <f>OpCo_Plan!E19</f>
        <v/>
      </c>
      <c r="C13" s="16">
        <f>OpCo_Plan!F19</f>
        <v/>
      </c>
      <c r="D13" s="16">
        <f>OpCo_Plan!G19</f>
        <v/>
      </c>
      <c r="E13" s="16">
        <f>OpCo_Plan!H19</f>
        <v/>
      </c>
      <c r="F13" s="16">
        <f>OpCo_Plan!I19</f>
        <v/>
      </c>
      <c r="G13" s="22">
        <f>SUM(B13:F13)</f>
        <v/>
      </c>
      <c r="H13" s="13">
        <f>G13/$G$17</f>
        <v/>
      </c>
    </row>
    <row r="14">
      <c r="A14" s="23" t="inlineStr">
        <is>
          <t>Cement</t>
        </is>
      </c>
      <c r="B14" s="16">
        <f>OpCo_Plan!E36</f>
        <v/>
      </c>
      <c r="C14" s="16">
        <f>OpCo_Plan!F36</f>
        <v/>
      </c>
      <c r="D14" s="16">
        <f>OpCo_Plan!G36</f>
        <v/>
      </c>
      <c r="E14" s="16">
        <f>OpCo_Plan!H36</f>
        <v/>
      </c>
      <c r="F14" s="16">
        <f>OpCo_Plan!I36</f>
        <v/>
      </c>
      <c r="G14" s="22">
        <f>SUM(B14:F14)</f>
        <v/>
      </c>
      <c r="H14" s="13">
        <f>G14/$G$17</f>
        <v/>
      </c>
    </row>
    <row r="15">
      <c r="A15" s="23" t="inlineStr">
        <is>
          <t>Ready-Mix Concrete</t>
        </is>
      </c>
      <c r="B15" s="16">
        <f>OpCo_Plan!E53</f>
        <v/>
      </c>
      <c r="C15" s="16">
        <f>OpCo_Plan!F53</f>
        <v/>
      </c>
      <c r="D15" s="16">
        <f>OpCo_Plan!G53</f>
        <v/>
      </c>
      <c r="E15" s="16">
        <f>OpCo_Plan!H53</f>
        <v/>
      </c>
      <c r="F15" s="16">
        <f>OpCo_Plan!I53</f>
        <v/>
      </c>
      <c r="G15" s="22">
        <f>SUM(B15:F15)</f>
        <v/>
      </c>
      <c r="H15" s="13">
        <f>G15/$G$17</f>
        <v/>
      </c>
    </row>
    <row r="16">
      <c r="A16" s="23" t="inlineStr">
        <is>
          <t>Asphalt &amp; Paving</t>
        </is>
      </c>
      <c r="B16" s="16">
        <f>OpCo_Plan!E70</f>
        <v/>
      </c>
      <c r="C16" s="16">
        <f>OpCo_Plan!F70</f>
        <v/>
      </c>
      <c r="D16" s="16">
        <f>OpCo_Plan!G70</f>
        <v/>
      </c>
      <c r="E16" s="16">
        <f>OpCo_Plan!H70</f>
        <v/>
      </c>
      <c r="F16" s="16">
        <f>OpCo_Plan!I70</f>
        <v/>
      </c>
      <c r="G16" s="22">
        <f>SUM(B16:F16)</f>
        <v/>
      </c>
      <c r="H16" s="13">
        <f>G16/$G$17</f>
        <v/>
      </c>
    </row>
    <row r="17">
      <c r="A17" s="3" t="inlineStr">
        <is>
          <t>Total capex</t>
        </is>
      </c>
      <c r="B17" s="16">
        <f>Consolidation!E28</f>
        <v/>
      </c>
      <c r="C17" s="16">
        <f>Consolidation!F28</f>
        <v/>
      </c>
      <c r="D17" s="16">
        <f>Consolidation!G28</f>
        <v/>
      </c>
      <c r="E17" s="16">
        <f>Consolidation!H28</f>
        <v/>
      </c>
      <c r="F17" s="16">
        <f>Consolidation!I28</f>
        <v/>
      </c>
      <c r="G17" s="22">
        <f>SUM(B17:F17)</f>
        <v/>
      </c>
      <c r="H17" s="13">
        <f>G17/$G$17</f>
        <v/>
      </c>
    </row>
    <row r="18">
      <c r="A18" s="23" t="inlineStr">
        <is>
          <t xml:space="preserve">  of which maintenance</t>
        </is>
      </c>
      <c r="B18" s="16">
        <f>Consolidation!E26</f>
        <v/>
      </c>
      <c r="C18" s="16">
        <f>Consolidation!F26</f>
        <v/>
      </c>
      <c r="D18" s="16">
        <f>Consolidation!G26</f>
        <v/>
      </c>
      <c r="E18" s="16">
        <f>Consolidation!H26</f>
        <v/>
      </c>
      <c r="F18" s="16">
        <f>Consolidation!I26</f>
        <v/>
      </c>
      <c r="G18" s="22">
        <f>SUM(B18:F18)</f>
        <v/>
      </c>
      <c r="H18" s="13">
        <f>G18/$G$17</f>
        <v/>
      </c>
    </row>
    <row r="19">
      <c r="A19" s="23" t="inlineStr">
        <is>
          <t xml:space="preserve">  of which growth</t>
        </is>
      </c>
      <c r="B19" s="16">
        <f>Consolidation!E27</f>
        <v/>
      </c>
      <c r="C19" s="16">
        <f>Consolidation!F27</f>
        <v/>
      </c>
      <c r="D19" s="16">
        <f>Consolidation!G27</f>
        <v/>
      </c>
      <c r="E19" s="16">
        <f>Consolidation!H27</f>
        <v/>
      </c>
      <c r="F19" s="16">
        <f>Consolidation!I27</f>
        <v/>
      </c>
      <c r="G19" s="22">
        <f>SUM(B19:F19)</f>
        <v/>
      </c>
      <c r="H19" s="13">
        <f>G19/$G$17</f>
        <v/>
      </c>
    </row>
    <row r="20">
      <c r="A20" s="23" t="inlineStr">
        <is>
          <t>Capex / D&amp;A</t>
        </is>
      </c>
      <c r="B20" s="26">
        <f>Consolidation!E30</f>
        <v/>
      </c>
      <c r="C20" s="26">
        <f>Consolidation!F30</f>
        <v/>
      </c>
      <c r="D20" s="26">
        <f>Consolidation!G30</f>
        <v/>
      </c>
      <c r="E20" s="26">
        <f>Consolidation!H30</f>
        <v/>
      </c>
      <c r="F20" s="26">
        <f>Consolidation!I30</f>
        <v/>
      </c>
    </row>
    <row r="21">
      <c r="A21" s="23" t="inlineStr">
        <is>
          <t>Capex % of revenue</t>
        </is>
      </c>
      <c r="B21" s="13">
        <f>Consolidation!E28/Consolidation!E11</f>
        <v/>
      </c>
      <c r="C21" s="13">
        <f>Consolidation!F28/Consolidation!F11</f>
        <v/>
      </c>
      <c r="D21" s="13">
        <f>Consolidation!G28/Consolidation!G11</f>
        <v/>
      </c>
      <c r="E21" s="13">
        <f>Consolidation!H28/Consolidation!H11</f>
        <v/>
      </c>
      <c r="F21" s="13">
        <f>Consolidation!I28/Consolidation!I11</f>
        <v/>
      </c>
    </row>
  </sheetData>
  <conditionalFormatting sqref="N5:N9">
    <cfRule type="expression" priority="1" dxfId="0">
      <formula>N5&lt;&gt;""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Granite Peak Materials Group: plan summary for the board</t>
        </is>
      </c>
    </row>
    <row r="2">
      <c r="A2" s="3">
        <f>"Scenario: "&amp;Inputs!$C$3</f>
        <v/>
      </c>
    </row>
    <row r="4">
      <c r="A4" s="9" t="inlineStr">
        <is>
          <t>$ millions</t>
        </is>
      </c>
      <c r="B4" s="9" t="inlineStr">
        <is>
          <t>FY2025A</t>
        </is>
      </c>
      <c r="C4" s="9" t="inlineStr">
        <is>
          <t>FY2026F</t>
        </is>
      </c>
      <c r="D4" s="9" t="inlineStr">
        <is>
          <t>FY2027 Budget</t>
        </is>
      </c>
      <c r="E4" s="9" t="inlineStr">
        <is>
          <t>FY2031 Plan</t>
        </is>
      </c>
      <c r="F4" s="9" t="inlineStr">
        <is>
          <t>CAGR FY26-31</t>
        </is>
      </c>
    </row>
    <row r="5">
      <c r="A5" s="3" t="inlineStr">
        <is>
          <t>Revenue</t>
        </is>
      </c>
      <c r="B5" s="16">
        <f>Consolidation!C11</f>
        <v/>
      </c>
      <c r="C5" s="16">
        <f>Consolidation!D11</f>
        <v/>
      </c>
      <c r="D5" s="16">
        <f>Consolidation!E11</f>
        <v/>
      </c>
      <c r="E5" s="16">
        <f>Consolidation!I11</f>
        <v/>
      </c>
      <c r="F5" s="13">
        <f>(E5/C5)^(1/5)-1</f>
        <v/>
      </c>
    </row>
    <row r="6">
      <c r="A6" s="3" t="inlineStr">
        <is>
          <t>EBITDA</t>
        </is>
      </c>
      <c r="B6" s="16">
        <f>Consolidation!C18</f>
        <v/>
      </c>
      <c r="C6" s="16">
        <f>Consolidation!D18</f>
        <v/>
      </c>
      <c r="D6" s="16">
        <f>Consolidation!E18</f>
        <v/>
      </c>
      <c r="E6" s="16">
        <f>Consolidation!I18</f>
        <v/>
      </c>
      <c r="F6" s="13">
        <f>(E6/C6)^(1/5)-1</f>
        <v/>
      </c>
    </row>
    <row r="7">
      <c r="A7" s="3" t="inlineStr">
        <is>
          <t>EBITDA margin</t>
        </is>
      </c>
      <c r="B7" s="13">
        <f>Consolidation!C19</f>
        <v/>
      </c>
      <c r="C7" s="13">
        <f>Consolidation!D19</f>
        <v/>
      </c>
      <c r="D7" s="13">
        <f>Consolidation!E19</f>
        <v/>
      </c>
      <c r="E7" s="13">
        <f>Consolidation!I19</f>
        <v/>
      </c>
    </row>
    <row r="8">
      <c r="A8" s="3" t="inlineStr">
        <is>
          <t>Total capex</t>
        </is>
      </c>
      <c r="B8" s="16">
        <f>Consolidation!C28</f>
        <v/>
      </c>
      <c r="C8" s="16">
        <f>Consolidation!D28</f>
        <v/>
      </c>
      <c r="D8" s="16">
        <f>Consolidation!E28</f>
        <v/>
      </c>
      <c r="E8" s="16">
        <f>Consolidation!I28</f>
        <v/>
      </c>
    </row>
    <row r="9">
      <c r="A9" s="3" t="inlineStr">
        <is>
          <t>Free cash flow</t>
        </is>
      </c>
      <c r="C9" s="16">
        <f>Consolidation!D35</f>
        <v/>
      </c>
      <c r="D9" s="16">
        <f>Consolidation!E35</f>
        <v/>
      </c>
      <c r="E9" s="16">
        <f>Consolidation!I35</f>
        <v/>
      </c>
    </row>
    <row r="11">
      <c r="A11" s="3" t="inlineStr">
        <is>
          <t>5-year capex FY27-31</t>
        </is>
      </c>
      <c r="B11" s="16">
        <f>SUM(Consolidation!E28:Consolidation!I28)</f>
        <v/>
      </c>
    </row>
    <row r="12">
      <c r="A12" s="3" t="inlineStr">
        <is>
          <t xml:space="preserve">  of which growth</t>
        </is>
      </c>
      <c r="B12" s="16">
        <f>SUM(Consolidation!E27:Consolidation!I27)</f>
        <v/>
      </c>
    </row>
    <row r="13">
      <c r="A13" s="3" t="inlineStr">
        <is>
          <t>5-year free cash flow FY27-31</t>
        </is>
      </c>
      <c r="B13" s="16">
        <f>SUM(Consolidation!E35:Consolidation!I35)</f>
        <v/>
      </c>
    </row>
    <row r="14">
      <c r="A14" s="3" t="inlineStr">
        <is>
          <t>5-year FCF conversion</t>
        </is>
      </c>
      <c r="B14" s="13">
        <f>B13/SUM(Consolidation!E18:Consolidation!I18)</f>
        <v/>
      </c>
    </row>
    <row r="15">
      <c r="A15" s="3" t="inlineStr">
        <is>
          <t>Growth projects below hurdle (NPV &lt; 0)</t>
        </is>
      </c>
      <c r="B15" s="17">
        <f>COUNTIF(Projects!$T$5:$T$12,"&lt;0")</f>
        <v/>
      </c>
    </row>
    <row r="16">
      <c r="A16" s="3" t="inlineStr">
        <is>
          <t>FY2026 capex forecast vs. budget (+ = under)</t>
        </is>
      </c>
      <c r="B16" s="16">
        <f>Capex_Report!L9</f>
        <v/>
      </c>
    </row>
    <row r="18">
      <c r="A18" s="3" t="inlineStr">
        <is>
          <t>EBITDA bridge FY2026F to FY2031 Plan</t>
        </is>
      </c>
    </row>
    <row r="19">
      <c r="A19" s="9" t="inlineStr">
        <is>
          <t>Driver</t>
        </is>
      </c>
      <c r="B19" s="9" t="inlineStr">
        <is>
          <t>$ millions</t>
        </is>
      </c>
    </row>
    <row r="20">
      <c r="A20" s="3" t="inlineStr">
        <is>
          <t>FY2026F EBITDA</t>
        </is>
      </c>
      <c r="B20" s="22">
        <f>Consolidation!D18</f>
        <v/>
      </c>
    </row>
    <row r="21">
      <c r="A21" s="23" t="inlineStr">
        <is>
          <t>Volume</t>
        </is>
      </c>
      <c r="B21" s="16">
        <f>(OpCo_Plan!I7-OpCo_Plan!D7)*(OpCo_Plan!D9-OpCo_Plan!D11)+(OpCo_Plan!I24-OpCo_Plan!D24)*(OpCo_Plan!D26-OpCo_Plan!D28)+(OpCo_Plan!I41-OpCo_Plan!D41)*(OpCo_Plan!D43-OpCo_Plan!D45)+(OpCo_Plan!I58-OpCo_Plan!D58)*(OpCo_Plan!D60-OpCo_Plan!D62)</f>
        <v/>
      </c>
    </row>
    <row r="22">
      <c r="A22" s="23" t="inlineStr">
        <is>
          <t>Price</t>
        </is>
      </c>
      <c r="B22" s="16">
        <f>OpCo_Plan!I7*(OpCo_Plan!I9-OpCo_Plan!D9)+OpCo_Plan!I24*(OpCo_Plan!I26-OpCo_Plan!D26)+OpCo_Plan!I41*(OpCo_Plan!I43-OpCo_Plan!D43)+OpCo_Plan!I58*(OpCo_Plan!I60-OpCo_Plan!D60)</f>
        <v/>
      </c>
    </row>
    <row r="23">
      <c r="A23" s="23" t="inlineStr">
        <is>
          <t>Variable cost inflation</t>
        </is>
      </c>
      <c r="B23" s="16">
        <f>-OpCo_Plan!I7*(OpCo_Plan!I11-OpCo_Plan!D11)+-OpCo_Plan!I24*(OpCo_Plan!I28-OpCo_Plan!D28)+-OpCo_Plan!I41*(OpCo_Plan!I45-OpCo_Plan!D45)+-OpCo_Plan!I58*(OpCo_Plan!I62-OpCo_Plan!D62)</f>
        <v/>
      </c>
    </row>
    <row r="24">
      <c r="A24" s="23" t="inlineStr">
        <is>
          <t>Fixed cost inflation</t>
        </is>
      </c>
      <c r="B24" s="16">
        <f>-(OpCo_Plan!I13-OpCo_Plan!D13)+-(OpCo_Plan!I30-OpCo_Plan!D30)+-(OpCo_Plan!I47-OpCo_Plan!D47)+-(OpCo_Plan!I64-OpCo_Plan!D64)</f>
        <v/>
      </c>
    </row>
    <row r="25">
      <c r="A25" s="23" t="inlineStr">
        <is>
          <t>Growth projects in service</t>
        </is>
      </c>
      <c r="B25" s="16">
        <f>(OpCo_Plan!I14-OpCo_Plan!D14)+(OpCo_Plan!I31-OpCo_Plan!D31)+(OpCo_Plan!I48-OpCo_Plan!D48)+(OpCo_Plan!I65-OpCo_Plan!D65)</f>
        <v/>
      </c>
    </row>
    <row r="26">
      <c r="A26" s="23" t="inlineStr">
        <is>
          <t>Corporate costs</t>
        </is>
      </c>
      <c r="B26" s="16">
        <f>Consolidation!I17-Consolidation!D17</f>
        <v/>
      </c>
    </row>
    <row r="27">
      <c r="A27" s="3" t="inlineStr">
        <is>
          <t>FY2031 Plan EBITDA</t>
        </is>
      </c>
      <c r="B27" s="22">
        <f>SUM(B20:B26)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78" customWidth="1" min="1" max="1"/>
    <col width="10" customWidth="1" min="2" max="2"/>
    <col width="14" customWidth="1" min="3" max="3"/>
  </cols>
  <sheetData>
    <row r="1">
      <c r="A1" s="1" t="inlineStr">
        <is>
          <t>Integrity checks</t>
        </is>
      </c>
    </row>
    <row r="3">
      <c r="A3" s="9" t="inlineStr">
        <is>
          <t>Check</t>
        </is>
      </c>
      <c r="B3" s="9" t="inlineStr">
        <is>
          <t>Pass?</t>
        </is>
      </c>
      <c r="C3" s="9" t="inlineStr">
        <is>
          <t>Difference</t>
        </is>
      </c>
    </row>
    <row r="4">
      <c r="A4" t="inlineStr">
        <is>
          <t>Consolidated revenue = operating company revenue - intercompany (all years)</t>
        </is>
      </c>
      <c r="B4">
        <f>ABS(C4)&lt;0.001</f>
        <v/>
      </c>
      <c r="C4" s="27">
        <f>SUM(Consolidation!C11:I11)-((SUM(OpCo_Plan!C10:I10)+SUM(OpCo_Plan!C27:I27)+SUM(OpCo_Plan!C44:I44)+SUM(OpCo_Plan!C61:I61))-(SUM(OpCo_Plan!C10:I10)*Inputs!$N$20+SUM(OpCo_Plan!C27:I27)*Inputs!$N$21+SUM(OpCo_Plan!C44:I44)*Inputs!$N$22+SUM(OpCo_Plan!C61:I61)*Inputs!$N$23))</f>
        <v/>
      </c>
    </row>
    <row r="5">
      <c r="A5" t="inlineStr">
        <is>
          <t>Consolidated EBITDA = sum of operating company EBITDA + corporate (all years)</t>
        </is>
      </c>
      <c r="B5">
        <f>ABS(C5)&lt;0.001</f>
        <v/>
      </c>
      <c r="C5" s="27">
        <f>SUM(Consolidation!C18:I18)-(SUM(OpCo_Plan!C15:I15)+SUM(OpCo_Plan!C32:I32)+SUM(OpCo_Plan!C49:I49)+SUM(OpCo_Plan!C66:I66)+SUM(Consolidation!C17:I17))</f>
        <v/>
      </c>
    </row>
    <row r="6">
      <c r="A6" t="inlineStr">
        <is>
          <t>Total capex = maintenance + growth (FY2026-FY2031)</t>
        </is>
      </c>
      <c r="B6">
        <f>ABS(C6)&lt;0.001</f>
        <v/>
      </c>
      <c r="C6" s="27">
        <f>SUM(Consolidation!D28:I28)-SUM(Consolidation!D26:I26)-SUM(Consolidation!D27:I27)</f>
        <v/>
      </c>
    </row>
    <row r="7">
      <c r="A7" t="inlineStr">
        <is>
          <t>Growth capex in plan = project register spend schedule</t>
        </is>
      </c>
      <c r="B7">
        <f>ABS(C7)&lt;0.001</f>
        <v/>
      </c>
      <c r="C7" s="27">
        <f>SUM(Consolidation!D27:I27)-SUM(Projects!$F$5:$K$12)</f>
        <v/>
      </c>
    </row>
    <row r="8">
      <c r="A8" t="inlineStr">
        <is>
          <t>PP&amp;E roll-forward: FY2031 = FY2025 + capex - D&amp;A</t>
        </is>
      </c>
      <c r="B8">
        <f>ABS(C8)&lt;0.001</f>
        <v/>
      </c>
      <c r="C8" s="27">
        <f>Consolidation!I29-(PPE2025+SUM(Consolidation!D28:I28)-SUM(Consolidation!D22:I22))</f>
        <v/>
      </c>
    </row>
    <row r="9">
      <c r="A9" t="inlineStr">
        <is>
          <t>Free cash flow = EBITDA - taxes - capex - increase in NWC (FY2026-FY2031)</t>
        </is>
      </c>
      <c r="B9">
        <f>ABS(C9)&lt;0.001</f>
        <v/>
      </c>
      <c r="C9" s="27">
        <f>SUM(Consolidation!D35:I35)-(SUM(Consolidation!D18:I18)-SUM(Consolidation!D24:I24)-SUM(Consolidation!D28:I28)-SUM(Consolidation!D33:I33))</f>
        <v/>
      </c>
    </row>
    <row r="10">
      <c r="A10" t="inlineStr">
        <is>
          <t>EBITDA bridge ends at FY2031 Plan EBITDA</t>
        </is>
      </c>
      <c r="B10">
        <f>ABS(C10)&lt;0.001</f>
        <v/>
      </c>
      <c r="C10" s="27">
        <f>Board_Summary!B27-Consolidation!I18</f>
        <v/>
      </c>
    </row>
    <row r="11">
      <c r="A11" t="inlineStr">
        <is>
          <t>FY2026 capex report forecast = consolidated FY2026 capex</t>
        </is>
      </c>
      <c r="B11">
        <f>ABS(C11)&lt;0.001</f>
        <v/>
      </c>
      <c r="C11" s="27">
        <f>Capex_Report!J9-Consolidation!D28</f>
        <v/>
      </c>
    </row>
    <row r="12">
      <c r="A12" t="inlineStr">
        <is>
          <t>Project forecast totals = sum of yearly schedule</t>
        </is>
      </c>
      <c r="B12">
        <f>ABS(C12)&lt;0.001</f>
        <v/>
      </c>
      <c r="C12" s="27">
        <f>SUM(Projects!$L$5:$L$12)-SUM(Projects!$F$5:$K$12)</f>
        <v/>
      </c>
    </row>
    <row r="13">
      <c r="A13" t="inlineStr">
        <is>
          <t>Scenario selector is 1, 2 or 3</t>
        </is>
      </c>
      <c r="B13">
        <f>OR(Scenario=1,Scenario=2,Scenario=3)</f>
        <v/>
      </c>
    </row>
    <row r="14">
      <c r="A14" s="3" t="inlineStr">
        <is>
          <t>ALL CHECKS PASS</t>
        </is>
      </c>
      <c r="B14" s="3">
        <f>AND(B4:B13)</f>
        <v/>
      </c>
    </row>
  </sheetData>
  <conditionalFormatting sqref="B4:B14">
    <cfRule type="cellIs" priority="1" operator="equal" dxfId="1">
      <formula>FALSE</formula>
    </cfRule>
    <cfRule type="cellIs" priority="2" operator="equal" dxfId="2">
      <formula>TRUE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2026-10-27T20:45:20Z</dcterms:created>
  <dcterms:modified xmlns:dcterms="http://purl.org/dc/terms/" xmlns:xsi="http://www.w3.org/2001/XMLSchema-instance" xsi:type="dcterms:W3CDTF">2026-10-27T20:45:20Z</dcterms:modified>
</cp:coreProperties>
</file>